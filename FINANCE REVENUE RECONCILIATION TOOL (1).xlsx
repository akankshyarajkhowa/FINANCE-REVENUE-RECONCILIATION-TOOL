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MS_Loan_Tape" sheetId="1" r:id="rId5"/>
    <sheet state="visible" name="Actual_Revenue" sheetId="2" r:id="rId6"/>
    <sheet state="visible" name="Reconciliation" sheetId="3" r:id="rId7"/>
    <sheet state="visible" name="Exception_Report" sheetId="4" r:id="rId8"/>
    <sheet state="visible" name="Dashboard" sheetId="5" r:id="rId9"/>
  </sheets>
  <definedNames/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<sst xmlns="http://schemas.openxmlformats.org/spreadsheetml/2006/main" count="1922" uniqueCount="360">
  <si>
    <t>loan_id</t>
  </si>
  <si>
    <t>disbursement_date</t>
  </si>
  <si>
    <t>principal_amount</t>
  </si>
  <si>
    <t>interest_rate</t>
  </si>
  <si>
    <t>tenure_months</t>
  </si>
  <si>
    <t>product_type</t>
  </si>
  <si>
    <t>lender_name</t>
  </si>
  <si>
    <t>status</t>
  </si>
  <si>
    <t>total_interest_accrued</t>
  </si>
  <si>
    <t>processing_fee_collected</t>
  </si>
  <si>
    <t>disb_month</t>
  </si>
  <si>
    <t>LN-10001</t>
  </si>
  <si>
    <t>Personal Loan</t>
  </si>
  <si>
    <t>DMI</t>
  </si>
  <si>
    <t>Active</t>
  </si>
  <si>
    <t>LN-10002</t>
  </si>
  <si>
    <t>Business Loan</t>
  </si>
  <si>
    <t>Tata Capital</t>
  </si>
  <si>
    <t>LN-10003</t>
  </si>
  <si>
    <t>Home Loan</t>
  </si>
  <si>
    <t>Piramal</t>
  </si>
  <si>
    <t>LN-10004</t>
  </si>
  <si>
    <t>Northern Arc</t>
  </si>
  <si>
    <t>LN-10005</t>
  </si>
  <si>
    <t>LN-10006</t>
  </si>
  <si>
    <t>Closed</t>
  </si>
  <si>
    <t>LN-10007</t>
  </si>
  <si>
    <t>Gold Loan</t>
  </si>
  <si>
    <t>LN-10008</t>
  </si>
  <si>
    <t>LN-10009</t>
  </si>
  <si>
    <t>LN-10010</t>
  </si>
  <si>
    <t>LN-10011</t>
  </si>
  <si>
    <t>LN-10012</t>
  </si>
  <si>
    <t>LN-10013</t>
  </si>
  <si>
    <t>LN-10014</t>
  </si>
  <si>
    <t>Liquiloans</t>
  </si>
  <si>
    <t>LN-10015</t>
  </si>
  <si>
    <t>LN-10016</t>
  </si>
  <si>
    <t>LN-10017</t>
  </si>
  <si>
    <t>LN-10018</t>
  </si>
  <si>
    <t>LN-10019</t>
  </si>
  <si>
    <t>LN-10020</t>
  </si>
  <si>
    <t>LN-10021</t>
  </si>
  <si>
    <t>LN-10022</t>
  </si>
  <si>
    <t>LN-10023</t>
  </si>
  <si>
    <t>LN-10024</t>
  </si>
  <si>
    <t>LN-10025</t>
  </si>
  <si>
    <t>LN-10026</t>
  </si>
  <si>
    <t>LN-10027</t>
  </si>
  <si>
    <t>LN-10028</t>
  </si>
  <si>
    <t>LN-10029</t>
  </si>
  <si>
    <t>LN-10030</t>
  </si>
  <si>
    <t>LN-10031</t>
  </si>
  <si>
    <t>LN-10032</t>
  </si>
  <si>
    <t>Written Off</t>
  </si>
  <si>
    <t>LN-10033</t>
  </si>
  <si>
    <t>LN-10034</t>
  </si>
  <si>
    <t>LN-10035</t>
  </si>
  <si>
    <t>LN-10036</t>
  </si>
  <si>
    <t>LN-10037</t>
  </si>
  <si>
    <t>LN-10038</t>
  </si>
  <si>
    <t>LN-10039</t>
  </si>
  <si>
    <t>LN-10040</t>
  </si>
  <si>
    <t>LN-10041</t>
  </si>
  <si>
    <t>LN-10042</t>
  </si>
  <si>
    <t>LN-10043</t>
  </si>
  <si>
    <t>LN-10044</t>
  </si>
  <si>
    <t>LN-10045</t>
  </si>
  <si>
    <t>LN-10046</t>
  </si>
  <si>
    <t>LN-10047</t>
  </si>
  <si>
    <t>LN-10048</t>
  </si>
  <si>
    <t>LN-10049</t>
  </si>
  <si>
    <t>LN-10050</t>
  </si>
  <si>
    <t>LN-10051</t>
  </si>
  <si>
    <t>LN-10052</t>
  </si>
  <si>
    <t>LN-10053</t>
  </si>
  <si>
    <t>LN-10054</t>
  </si>
  <si>
    <t>LN-10055</t>
  </si>
  <si>
    <t>LN-10056</t>
  </si>
  <si>
    <t>LN-10057</t>
  </si>
  <si>
    <t>LN-10058</t>
  </si>
  <si>
    <t>LN-10059</t>
  </si>
  <si>
    <t>LN-10060</t>
  </si>
  <si>
    <t>LN-10061</t>
  </si>
  <si>
    <t>LN-10062</t>
  </si>
  <si>
    <t>LN-10063</t>
  </si>
  <si>
    <t>LN-10064</t>
  </si>
  <si>
    <t>LN-10065</t>
  </si>
  <si>
    <t>LN-10066</t>
  </si>
  <si>
    <t>LN-10067</t>
  </si>
  <si>
    <t>LN-10068</t>
  </si>
  <si>
    <t>LN-10069</t>
  </si>
  <si>
    <t>LN-10070</t>
  </si>
  <si>
    <t>LN-10071</t>
  </si>
  <si>
    <t>LN-10072</t>
  </si>
  <si>
    <t>LN-10073</t>
  </si>
  <si>
    <t>LN-10074</t>
  </si>
  <si>
    <t>LN-10075</t>
  </si>
  <si>
    <t>LN-10076</t>
  </si>
  <si>
    <t>LN-10077</t>
  </si>
  <si>
    <t>LN-10078</t>
  </si>
  <si>
    <t>LN-10079</t>
  </si>
  <si>
    <t>LN-10080</t>
  </si>
  <si>
    <t>LN-10081</t>
  </si>
  <si>
    <t>LN-10082</t>
  </si>
  <si>
    <t>LN-10083</t>
  </si>
  <si>
    <t>LN-10084</t>
  </si>
  <si>
    <t>LN-10085</t>
  </si>
  <si>
    <t>LN-10086</t>
  </si>
  <si>
    <t>LN-10087</t>
  </si>
  <si>
    <t>LN-10088</t>
  </si>
  <si>
    <t>LN-10089</t>
  </si>
  <si>
    <t>LN-10090</t>
  </si>
  <si>
    <t>LN-10091</t>
  </si>
  <si>
    <t>LN-10092</t>
  </si>
  <si>
    <t>LN-10093</t>
  </si>
  <si>
    <t>LN-10094</t>
  </si>
  <si>
    <t>LN-10095</t>
  </si>
  <si>
    <t>LN-10096</t>
  </si>
  <si>
    <t>LN-10097</t>
  </si>
  <si>
    <t>LN-10098</t>
  </si>
  <si>
    <t>LN-10099</t>
  </si>
  <si>
    <t>LN-10100</t>
  </si>
  <si>
    <t>LN-10101</t>
  </si>
  <si>
    <t>LN-10102</t>
  </si>
  <si>
    <t>LN-10103</t>
  </si>
  <si>
    <t>LN-10104</t>
  </si>
  <si>
    <t>LN-10105</t>
  </si>
  <si>
    <t>LN-10106</t>
  </si>
  <si>
    <t>LN-10107</t>
  </si>
  <si>
    <t>LN-10108</t>
  </si>
  <si>
    <t>LN-10109</t>
  </si>
  <si>
    <t>LN-10110</t>
  </si>
  <si>
    <t>LN-10111</t>
  </si>
  <si>
    <t>LN-10112</t>
  </si>
  <si>
    <t>LN-10113</t>
  </si>
  <si>
    <t>LN-10114</t>
  </si>
  <si>
    <t>LN-10115</t>
  </si>
  <si>
    <t>LN-10116</t>
  </si>
  <si>
    <t>LN-10117</t>
  </si>
  <si>
    <t>LN-10118</t>
  </si>
  <si>
    <t>LN-10119</t>
  </si>
  <si>
    <t>LN-10120</t>
  </si>
  <si>
    <t>LN-10121</t>
  </si>
  <si>
    <t>LN-10122</t>
  </si>
  <si>
    <t>LN-10123</t>
  </si>
  <si>
    <t>LN-10124</t>
  </si>
  <si>
    <t>LN-10125</t>
  </si>
  <si>
    <t>LN-10126</t>
  </si>
  <si>
    <t>LN-10127</t>
  </si>
  <si>
    <t>LN-10128</t>
  </si>
  <si>
    <t>LN-10129</t>
  </si>
  <si>
    <t>LN-10130</t>
  </si>
  <si>
    <t>LN-10131</t>
  </si>
  <si>
    <t>LN-10132</t>
  </si>
  <si>
    <t>LN-10133</t>
  </si>
  <si>
    <t>LN-10134</t>
  </si>
  <si>
    <t>LN-10135</t>
  </si>
  <si>
    <t>LN-10136</t>
  </si>
  <si>
    <t>LN-10137</t>
  </si>
  <si>
    <t>LN-10138</t>
  </si>
  <si>
    <t>LN-10139</t>
  </si>
  <si>
    <t>LN-10140</t>
  </si>
  <si>
    <t>LN-10141</t>
  </si>
  <si>
    <t>LN-10142</t>
  </si>
  <si>
    <t>LN-10143</t>
  </si>
  <si>
    <t>LN-10144</t>
  </si>
  <si>
    <t>LN-10145</t>
  </si>
  <si>
    <t>LN-10146</t>
  </si>
  <si>
    <t>LN-10147</t>
  </si>
  <si>
    <t>LN-10148</t>
  </si>
  <si>
    <t>LN-10149</t>
  </si>
  <si>
    <t>LN-10150</t>
  </si>
  <si>
    <t>LN-10151</t>
  </si>
  <si>
    <t>LN-10152</t>
  </si>
  <si>
    <t>LN-10153</t>
  </si>
  <si>
    <t>LN-10154</t>
  </si>
  <si>
    <t>LN-10155</t>
  </si>
  <si>
    <t>LN-10156</t>
  </si>
  <si>
    <t>LN-10157</t>
  </si>
  <si>
    <t>LN-10158</t>
  </si>
  <si>
    <t>LN-10159</t>
  </si>
  <si>
    <t>LN-10160</t>
  </si>
  <si>
    <t>LN-10161</t>
  </si>
  <si>
    <t>LN-10162</t>
  </si>
  <si>
    <t>LN-10163</t>
  </si>
  <si>
    <t>LN-10164</t>
  </si>
  <si>
    <t>LN-10165</t>
  </si>
  <si>
    <t>LN-10166</t>
  </si>
  <si>
    <t>LN-10167</t>
  </si>
  <si>
    <t>LN-10168</t>
  </si>
  <si>
    <t>LN-10169</t>
  </si>
  <si>
    <t>LN-10170</t>
  </si>
  <si>
    <t>LN-10171</t>
  </si>
  <si>
    <t>LN-10172</t>
  </si>
  <si>
    <t>LN-10173</t>
  </si>
  <si>
    <t>LN-10174</t>
  </si>
  <si>
    <t>LN-10175</t>
  </si>
  <si>
    <t>LN-10176</t>
  </si>
  <si>
    <t>LN-10177</t>
  </si>
  <si>
    <t>LN-10178</t>
  </si>
  <si>
    <t>LN-10179</t>
  </si>
  <si>
    <t>LN-10180</t>
  </si>
  <si>
    <t>LN-10181</t>
  </si>
  <si>
    <t>LN-10182</t>
  </si>
  <si>
    <t>LN-10183</t>
  </si>
  <si>
    <t>LN-10184</t>
  </si>
  <si>
    <t>LN-10185</t>
  </si>
  <si>
    <t>LN-10186</t>
  </si>
  <si>
    <t>LN-10187</t>
  </si>
  <si>
    <t>LN-10188</t>
  </si>
  <si>
    <t>LN-10189</t>
  </si>
  <si>
    <t>LN-10190</t>
  </si>
  <si>
    <t>LN-10191</t>
  </si>
  <si>
    <t>LN-10192</t>
  </si>
  <si>
    <t>LN-10193</t>
  </si>
  <si>
    <t>LN-10194</t>
  </si>
  <si>
    <t>LN-10195</t>
  </si>
  <si>
    <t>LN-10196</t>
  </si>
  <si>
    <t>LN-10197</t>
  </si>
  <si>
    <t>LN-10198</t>
  </si>
  <si>
    <t>LN-10199</t>
  </si>
  <si>
    <t>LN-10200</t>
  </si>
  <si>
    <t>LN-10201</t>
  </si>
  <si>
    <t>LN-10202</t>
  </si>
  <si>
    <t>LN-10203</t>
  </si>
  <si>
    <t>LN-10204</t>
  </si>
  <si>
    <t>LN-10205</t>
  </si>
  <si>
    <t>LN-10206</t>
  </si>
  <si>
    <t>LN-10207</t>
  </si>
  <si>
    <t>LN-10208</t>
  </si>
  <si>
    <t>LN-10209</t>
  </si>
  <si>
    <t>LN-10210</t>
  </si>
  <si>
    <t>LN-10211</t>
  </si>
  <si>
    <t>LN-10212</t>
  </si>
  <si>
    <t>LN-10213</t>
  </si>
  <si>
    <t>LN-10214</t>
  </si>
  <si>
    <t>LN-10215</t>
  </si>
  <si>
    <t>LN-10216</t>
  </si>
  <si>
    <t>LN-10217</t>
  </si>
  <si>
    <t>LN-10218</t>
  </si>
  <si>
    <t>LN-10219</t>
  </si>
  <si>
    <t>LN-10220</t>
  </si>
  <si>
    <t>LN-10221</t>
  </si>
  <si>
    <t>LN-10222</t>
  </si>
  <si>
    <t>LN-10223</t>
  </si>
  <si>
    <t>LN-10224</t>
  </si>
  <si>
    <t>LN-10225</t>
  </si>
  <si>
    <t>LN-10226</t>
  </si>
  <si>
    <t>LN-10227</t>
  </si>
  <si>
    <t>LN-10228</t>
  </si>
  <si>
    <t>LN-10229</t>
  </si>
  <si>
    <t>LN-10230</t>
  </si>
  <si>
    <t>LN-10231</t>
  </si>
  <si>
    <t>LN-10232</t>
  </si>
  <si>
    <t>LN-10233</t>
  </si>
  <si>
    <t>LN-10234</t>
  </si>
  <si>
    <t>LN-10235</t>
  </si>
  <si>
    <t>LN-10236</t>
  </si>
  <si>
    <t>LN-10237</t>
  </si>
  <si>
    <t>LN-10238</t>
  </si>
  <si>
    <t>LN-10239</t>
  </si>
  <si>
    <t>LN-10240</t>
  </si>
  <si>
    <t>LN-10241</t>
  </si>
  <si>
    <t>LN-10242</t>
  </si>
  <si>
    <t>LN-10243</t>
  </si>
  <si>
    <t>LN-10244</t>
  </si>
  <si>
    <t>LN-10245</t>
  </si>
  <si>
    <t>LN-10246</t>
  </si>
  <si>
    <t>LN-10247</t>
  </si>
  <si>
    <t>LN-10248</t>
  </si>
  <si>
    <t>LN-10249</t>
  </si>
  <si>
    <t>LN-10250</t>
  </si>
  <si>
    <t>LN-10251</t>
  </si>
  <si>
    <t>LN-10252</t>
  </si>
  <si>
    <t>LN-10253</t>
  </si>
  <si>
    <t>LN-10254</t>
  </si>
  <si>
    <t>LN-10255</t>
  </si>
  <si>
    <t>LN-10256</t>
  </si>
  <si>
    <t>LN-10257</t>
  </si>
  <si>
    <t>LN-10258</t>
  </si>
  <si>
    <t>LN-10259</t>
  </si>
  <si>
    <t>LN-10260</t>
  </si>
  <si>
    <t>LN-10261</t>
  </si>
  <si>
    <t>LN-10262</t>
  </si>
  <si>
    <t>LN-10263</t>
  </si>
  <si>
    <t>LN-10264</t>
  </si>
  <si>
    <t>LN-10265</t>
  </si>
  <si>
    <t>LN-10266</t>
  </si>
  <si>
    <t>LN-10267</t>
  </si>
  <si>
    <t>LN-10268</t>
  </si>
  <si>
    <t>LN-10269</t>
  </si>
  <si>
    <t>LN-10270</t>
  </si>
  <si>
    <t>LN-10271</t>
  </si>
  <si>
    <t>LN-10272</t>
  </si>
  <si>
    <t>LN-10273</t>
  </si>
  <si>
    <t>LN-10274</t>
  </si>
  <si>
    <t>LN-10275</t>
  </si>
  <si>
    <t>LN-10276</t>
  </si>
  <si>
    <t>LN-10277</t>
  </si>
  <si>
    <t>LN-10278</t>
  </si>
  <si>
    <t>LN-10279</t>
  </si>
  <si>
    <t>LN-10280</t>
  </si>
  <si>
    <t>LN-10281</t>
  </si>
  <si>
    <t>LN-10282</t>
  </si>
  <si>
    <t>LN-10283</t>
  </si>
  <si>
    <t>LN-10284</t>
  </si>
  <si>
    <t>LN-10285</t>
  </si>
  <si>
    <t>LN-10286</t>
  </si>
  <si>
    <t>LN-10287</t>
  </si>
  <si>
    <t>LN-10288</t>
  </si>
  <si>
    <t>LN-10289</t>
  </si>
  <si>
    <t>LN-10290</t>
  </si>
  <si>
    <t>LN-10291</t>
  </si>
  <si>
    <t>LN-10292</t>
  </si>
  <si>
    <t>LN-10293</t>
  </si>
  <si>
    <t>LN-10294</t>
  </si>
  <si>
    <t>LN-10295</t>
  </si>
  <si>
    <t>LN-10296</t>
  </si>
  <si>
    <t>LN-10297</t>
  </si>
  <si>
    <t>LN-10298</t>
  </si>
  <si>
    <t>LN-10299</t>
  </si>
  <si>
    <t>LN-10300</t>
  </si>
  <si>
    <t>expected_interest_income</t>
  </si>
  <si>
    <t>expected_processing_fee</t>
  </si>
  <si>
    <t>actual_interest_received</t>
  </si>
  <si>
    <t>actual_fee_received</t>
  </si>
  <si>
    <t>variance_flag</t>
  </si>
  <si>
    <t>variance_reason</t>
  </si>
  <si>
    <t>NO</t>
  </si>
  <si>
    <t>YES</t>
  </si>
  <si>
    <t>System Error</t>
  </si>
  <si>
    <t>Partial Payment</t>
  </si>
  <si>
    <t>Rate Change</t>
  </si>
  <si>
    <t>Prepayment</t>
  </si>
  <si>
    <t>Waiver Applied</t>
  </si>
  <si>
    <t xml:space="preserve">loan_id </t>
  </si>
  <si>
    <t>Expected Interest</t>
  </si>
  <si>
    <t>Actual Interest</t>
  </si>
  <si>
    <t>Interest Variance</t>
  </si>
  <si>
    <t xml:space="preserve">Variance % </t>
  </si>
  <si>
    <t>Expected Fee</t>
  </si>
  <si>
    <t xml:space="preserve">Actual Fee </t>
  </si>
  <si>
    <t>Fee Variance</t>
  </si>
  <si>
    <t>Status</t>
  </si>
  <si>
    <t>Reason</t>
  </si>
  <si>
    <t>Summary</t>
  </si>
  <si>
    <t>Total Expected Revenue</t>
  </si>
  <si>
    <t>Total Actual Revenue</t>
  </si>
  <si>
    <t>Total Leakage</t>
  </si>
  <si>
    <t>Match Rate</t>
  </si>
  <si>
    <t>Action Required</t>
  </si>
  <si>
    <t>Lender</t>
  </si>
  <si>
    <t>Total variance</t>
  </si>
  <si>
    <t>month</t>
  </si>
  <si>
    <t>Count of Loans</t>
  </si>
  <si>
    <t>Total Variance</t>
  </si>
  <si>
    <t xml:space="preserve">COUNTA of loan_id </t>
  </si>
  <si>
    <t>SUM of Total variance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</si>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</sst>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C678DD"/>
      <name val="Monospace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10" xfId="0" applyFont="1" applyNumberFormat="1"/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10" xfId="0" applyBorder="1" applyFont="1" applyNumberForma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9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2" numFmtId="0" xfId="0" applyFont="1"/>
  </cellXfs>
  <cellStyles count="1">
    <cellStyle xfId="0" name="Normal" builtinId="0"/>
  </cellStyles>
  <dxfs count="3"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6D01"/>
          <bgColor rgb="FFFF6D0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34</xdr:row>
      <xdr:rowOff>123825</xdr:rowOff>
    </xdr:from>
    <xdr:ext cx="5715000" cy="3533775"/>
    <xdr:pic>
      <xdr:nvPicPr>
        <xdr:cNvPr id="38858162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000" sheet="Exception_Report"/>
  </cacheSource>
  <cacheFields>
    <cacheField name="loan_id " numFmtId="0">
      <sharedItems containsBlank="1">
        <s v="LN-10001"/>
        <s v="LN-10002"/>
        <s v="LN-10008"/>
        <s v="LN-10011"/>
        <s v="LN-10013"/>
        <s v="LN-10015"/>
        <s v="LN-10018"/>
        <s v="LN-10026"/>
        <s v="LN-10027"/>
        <s v="LN-10033"/>
        <s v="LN-10037"/>
        <s v="LN-10040"/>
        <s v="LN-10044"/>
        <s v="LN-10045"/>
        <s v="LN-10048"/>
        <s v="LN-10051"/>
        <s v="LN-10056"/>
        <s v="LN-10062"/>
        <s v="LN-10069"/>
        <s v="LN-10075"/>
        <s v="LN-10076"/>
        <s v="LN-10081"/>
        <s v="LN-10082"/>
        <s v="LN-10085"/>
        <s v="LN-10087"/>
        <s v="LN-10091"/>
        <s v="LN-10093"/>
        <s v="LN-10097"/>
        <s v="LN-10098"/>
        <s v="LN-10102"/>
        <s v="LN-10105"/>
        <s v="LN-10110"/>
        <s v="LN-10118"/>
        <s v="LN-10125"/>
        <s v="LN-10127"/>
        <s v="LN-10131"/>
        <s v="LN-10132"/>
        <s v="LN-10135"/>
        <s v="LN-10140"/>
        <s v="LN-10141"/>
        <s v="LN-10147"/>
        <s v="LN-10151"/>
        <s v="LN-10157"/>
        <s v="LN-10162"/>
        <s v="LN-10166"/>
        <s v="LN-10172"/>
        <s v="LN-10174"/>
        <s v="LN-10180"/>
        <s v="LN-10194"/>
        <s v="LN-10196"/>
        <s v="LN-10203"/>
        <s v="LN-10204"/>
        <s v="LN-10208"/>
        <s v="LN-10210"/>
        <s v="LN-10212"/>
        <s v="LN-10213"/>
        <s v="LN-10218"/>
        <s v="LN-10220"/>
        <s v="LN-10223"/>
        <s v="LN-10224"/>
        <s v="LN-10229"/>
        <s v="LN-10230"/>
        <s v="LN-10231"/>
        <s v="LN-10233"/>
        <s v="LN-10240"/>
        <s v="LN-10241"/>
        <s v="LN-10242"/>
        <s v="LN-10245"/>
        <s v="LN-10249"/>
        <s v="LN-10250"/>
        <s v="LN-10252"/>
        <s v="LN-10254"/>
        <s v="LN-10255"/>
        <s v="LN-10257"/>
        <s v="LN-10258"/>
        <s v="LN-10260"/>
        <s v="LN-10264"/>
        <s v="LN-10265"/>
        <s v="LN-10272"/>
        <s v="LN-10274"/>
        <s v="LN-10281"/>
        <s v="LN-10285"/>
        <s v="LN-10289"/>
        <s v="LN-10291"/>
        <s v="LN-10293"/>
        <s v="LN-10294"/>
        <m/>
      </sharedItems>
    </cacheField>
    <cacheField name="Expected Interest" numFmtId="164">
      <sharedItems containsString="0" containsBlank="1" containsNumber="1" containsInteger="1">
        <n v="305868.0"/>
        <n v="70319.0"/>
        <n v="187426.0"/>
        <n v="319543.0"/>
        <n v="99978.0"/>
        <n v="214052.0"/>
        <n v="250333.0"/>
        <n v="95442.0"/>
        <n v="47945.0"/>
        <n v="52973.0"/>
        <n v="5410.0"/>
        <n v="36428.0"/>
        <n v="7409.0"/>
        <n v="131700.0"/>
        <n v="22297.0"/>
        <n v="82659.0"/>
        <n v="58280.0"/>
        <n v="362648.0"/>
        <n v="109536.0"/>
        <n v="88094.0"/>
        <n v="41646.0"/>
        <n v="291821.0"/>
        <n v="296219.0"/>
        <n v="112602.0"/>
        <n v="53344.0"/>
        <n v="30963.0"/>
        <n v="43894.0"/>
        <n v="286683.0"/>
        <n v="188079.0"/>
        <n v="333909.0"/>
        <n v="78377.0"/>
        <n v="105195.0"/>
        <n v="11813.0"/>
        <n v="396217.0"/>
        <n v="140015.0"/>
        <n v="310973.0"/>
        <n v="358817.0"/>
        <n v="72617.0"/>
        <n v="134365.0"/>
        <n v="26864.0"/>
        <n v="20030.0"/>
        <n v="218076.0"/>
        <n v="148836.0"/>
        <n v="139650.0"/>
        <n v="24798.0"/>
        <n v="136590.0"/>
        <n v="178739.0"/>
        <n v="79336.0"/>
        <n v="27266.0"/>
        <n v="96653.0"/>
        <n v="37186.0"/>
        <n v="106109.0"/>
        <n v="424966.0"/>
        <n v="197606.0"/>
        <n v="67038.0"/>
        <n v="264467.0"/>
        <n v="182595.0"/>
        <n v="174227.0"/>
        <n v="95059.0"/>
        <n v="55054.0"/>
        <n v="111104.0"/>
        <n v="61370.0"/>
        <n v="69133.0"/>
        <n v="59548.0"/>
        <n v="32332.0"/>
        <n v="307415.0"/>
        <n v="56302.0"/>
        <n v="28873.0"/>
        <n v="138528.0"/>
        <n v="312120.0"/>
        <n v="29041.0"/>
        <n v="149578.0"/>
        <n v="133519.0"/>
        <n v="98446.0"/>
        <n v="107565.0"/>
        <n v="277903.0"/>
        <n v="59348.0"/>
        <n v="262408.0"/>
        <n v="149144.0"/>
        <n v="47347.0"/>
        <n v="35631.0"/>
        <n v="95404.0"/>
        <n v="223176.0"/>
        <n v="141525.0"/>
        <n v="73572.0"/>
        <n v="81747.0"/>
        <m/>
      </sharedItems>
    </cacheField>
    <cacheField name="Actual Interest" numFmtId="164">
      <sharedItems containsString="0" containsBlank="1" containsNumber="1" containsInteger="1">
        <n v="299750.0"/>
        <n v="70754.0"/>
        <n v="112455.0"/>
        <n v="335520.0"/>
        <n v="79982.0"/>
        <n v="214052.0"/>
        <n v="245326.0"/>
        <n v="100214.0"/>
        <n v="28767.0"/>
        <n v="53324.0"/>
        <n v="5410.0"/>
        <n v="37193.0"/>
        <n v="7409.0"/>
        <n v="129066.0"/>
        <n v="22297.0"/>
        <n v="82659.0"/>
        <n v="58280.0"/>
        <n v="355395.0"/>
        <n v="110210.0"/>
        <n v="92498.0"/>
        <n v="43728.0"/>
        <n v="291821.0"/>
        <n v="290294.0"/>
        <n v="67561.0"/>
        <n v="32006.0"/>
        <n v="30343.0"/>
        <n v="35115.0"/>
        <n v="286683.0"/>
        <n v="188079.0"/>
        <n v="300518.0"/>
        <n v="70539.0"/>
        <n v="105791.0"/>
        <n v="10631.0"/>
        <n v="396217.0"/>
        <n v="137214.0"/>
        <n v="326521.0"/>
        <n v="358817.0"/>
        <n v="76247.0"/>
        <n v="131677.0"/>
        <n v="24177.0"/>
        <n v="20030.0"/>
        <n v="213714.0"/>
        <n v="145859.0"/>
        <n v="125685.0"/>
        <n v="24798.0"/>
        <n v="133858.0"/>
        <n v="178869.0"/>
        <n v="80135.0"/>
        <n v="28629.0"/>
        <n v="94719.0"/>
        <n v="29748.0"/>
        <n v="106109.0"/>
        <n v="254979.0"/>
        <n v="197606.0"/>
        <n v="67841.0"/>
        <n v="158680.0"/>
        <n v="183322.0"/>
        <n v="174818.0"/>
        <n v="85553.0"/>
        <n v="57806.0"/>
        <n v="66662.0"/>
        <n v="61784.0"/>
        <n v="69133.0"/>
        <n v="59548.0"/>
        <n v="31685.0"/>
        <n v="184449.0"/>
        <n v="55175.0"/>
        <n v="28295.0"/>
        <n v="138973.0"/>
        <n v="312120.0"/>
        <n v="23232.0"/>
        <n v="149578.0"/>
        <n v="133519.0"/>
        <n v="59067.0"/>
        <n v="64539.0"/>
        <n v="166741.0"/>
        <n v="53413.0"/>
        <n v="257159.0"/>
        <n v="89486.0"/>
        <n v="42612.0"/>
        <n v="35631.0"/>
        <n v="95404.0"/>
        <n v="223176.0"/>
        <n v="148601.0"/>
        <n v="66214.0"/>
        <n v="80112.0"/>
        <m/>
      </sharedItems>
    </cacheField>
    <cacheField name="Interest Variance" numFmtId="164">
      <sharedItems containsString="0" containsBlank="1" containsNumber="1" containsInteger="1">
        <n v="6118.0"/>
        <n v="-435.0"/>
        <n v="74971.0"/>
        <n v="-15977.0"/>
        <n v="19996.0"/>
        <n v="0.0"/>
        <n v="5007.0"/>
        <n v="-4772.0"/>
        <n v="19178.0"/>
        <n v="-351.0"/>
        <n v="-765.0"/>
        <n v="2634.0"/>
        <n v="7253.0"/>
        <n v="-674.0"/>
        <n v="-4404.0"/>
        <n v="-2082.0"/>
        <n v="5925.0"/>
        <n v="45041.0"/>
        <n v="21338.0"/>
        <n v="620.0"/>
        <n v="8779.0"/>
        <n v="33391.0"/>
        <n v="7838.0"/>
        <n v="-596.0"/>
        <n v="1182.0"/>
        <n v="2801.0"/>
        <n v="-15548.0"/>
        <n v="-3630.0"/>
        <n v="2688.0"/>
        <n v="2687.0"/>
        <n v="4362.0"/>
        <n v="2977.0"/>
        <n v="13965.0"/>
        <n v="2732.0"/>
        <n v="-130.0"/>
        <n v="-799.0"/>
        <n v="-1363.0"/>
        <n v="1934.0"/>
        <n v="7438.0"/>
        <n v="169987.0"/>
        <n v="-803.0"/>
        <n v="105787.0"/>
        <n v="-727.0"/>
        <n v="-591.0"/>
        <n v="9506.0"/>
        <n v="-2752.0"/>
        <n v="44442.0"/>
        <n v="-414.0"/>
        <n v="647.0"/>
        <n v="122966.0"/>
        <n v="1127.0"/>
        <n v="578.0"/>
        <n v="-445.0"/>
        <n v="5809.0"/>
        <n v="39379.0"/>
        <n v="43026.0"/>
        <n v="111162.0"/>
        <n v="5935.0"/>
        <n v="5249.0"/>
        <n v="59658.0"/>
        <n v="4735.0"/>
        <n v="-7076.0"/>
        <n v="7358.0"/>
        <n v="1635.0"/>
        <m/>
      </sharedItems>
    </cacheField>
    <cacheField name="Variance % " numFmtId="10">
      <sharedItems containsString="0" containsBlank="1" containsNumber="1">
        <n v="0.02000209240587443"/>
        <n v="-0.006186094796569917"/>
        <n v="0.400003201263432"/>
        <n v="-0.04999953057960901"/>
        <n v="0.20000400088019366"/>
        <n v="0.0"/>
        <n v="0.020001358190889735"/>
        <n v="-0.049998952243247206"/>
        <n v="0.4"/>
        <n v="-0.006626017027542333"/>
        <n v="-0.02100032941693203"/>
        <n v="0.02"/>
        <n v="0.020000110299794843"/>
        <n v="-0.006153228162430616"/>
        <n v="-0.04999205394237973"/>
        <n v="-0.04999279642702781"/>
        <n v="0.02000209304602338"/>
        <n v="0.400001776167386"/>
        <n v="0.40000749850029993"/>
        <n v="0.02002389949294319"/>
        <n v="0.2000045564314029"/>
        <n v="0.10000029948279322"/>
        <n v="0.1000038276535208"/>
        <n v="-0.0056656685203669375"/>
        <n v="0.100059256751037"/>
        <n v="0.020004999464343105"/>
        <n v="-0.04999790978638017"/>
        <n v="-0.04998829475191759"/>
        <n v="0.020005209690023444"/>
        <n v="0.10002233472304943"/>
        <n v="0.020002201067517746"/>
        <n v="0.02000188126528528"/>
        <n v="0.1"/>
        <n v="0.020001464236034848"/>
        <n v="-7.273174852718209E-4"/>
        <n v="-0.010071090047393365"/>
        <n v="-0.04998899728599721"/>
        <n v="0.020009725512917343"/>
        <n v="0.20002151347281236"/>
        <n v="0.4000014118776561"/>
        <n v="-0.01197828097496942"/>
        <n v="0.40000075623801834"/>
        <n v="-0.003981489087872067"/>
        <n v="-0.003392126363881603"/>
        <n v="0.10000105197824509"/>
        <n v="-0.04998728521088386"/>
        <n v="0.40000360023041476"/>
        <n v="-0.0067459670848948996"/>
        <n v="0.02001113447977236"/>
        <n v="0.020017050904053143"/>
        <n v="0.020018702594119073"/>
        <n v="-0.003212346962346962"/>
        <n v="0.20002754726076927"/>
        <n v="0.4000060947118217"/>
        <n v="0.400002878702281"/>
        <n v="0.10000336995349464"/>
        <n v="0.020003201121917016"/>
        <n v="0.4000026819717857"/>
        <n v="0.1000063361987032"/>
        <n v="-0.04999823352764529"/>
        <n v="0.10001087370195183"/>
        <n v="0.020000733971888878"/>
        <m/>
      </sharedItems>
    </cacheField>
    <cacheField name="Expected Fee" numFmtId="164">
      <sharedItems containsString="0" containsBlank="1" containsNumber="1" containsInteger="1">
        <n v="33318.0"/>
        <n v="9347.0"/>
        <n v="28021.0"/>
        <n v="44197.0"/>
        <n v="7766.0"/>
        <n v="18188.0"/>
        <n v="28741.0"/>
        <n v="46122.0"/>
        <n v="23778.0"/>
        <n v="7560.0"/>
        <n v="3526.0"/>
        <n v="45169.0"/>
        <n v="836.0"/>
        <n v="21296.0"/>
        <n v="2929.0"/>
        <n v="9574.0"/>
        <n v="10932.0"/>
        <n v="43577.0"/>
        <n v="25724.0"/>
        <n v="24407.0"/>
        <n v="29276.0"/>
        <n v="36865.0"/>
        <n v="32049.0"/>
        <n v="13350.0"/>
        <n v="10168.0"/>
        <n v="23097.0"/>
        <n v="53579.0"/>
        <n v="45617.0"/>
        <n v="18362.0"/>
        <n v="41478.0"/>
        <n v="20750.0"/>
        <n v="31570.0"/>
        <n v="12323.0"/>
        <n v="27455.0"/>
        <n v="17164.0"/>
        <n v="38472.0"/>
        <n v="40987.0"/>
        <n v="43451.0"/>
        <n v="24559.0"/>
        <n v="9092.0"/>
        <n v="3633.0"/>
        <n v="21783.0"/>
        <n v="15987.0"/>
        <n v="11432.0"/>
        <n v="5843.0"/>
        <n v="20542.0"/>
        <n v="29609.0"/>
        <n v="30727.0"/>
        <n v="12880.0"/>
        <n v="10718.0"/>
        <n v="9906.0"/>
        <n v="14993.0"/>
        <n v="29131.0"/>
        <n v="22571.0"/>
        <n v="13763.0"/>
        <n v="46667.0"/>
        <n v="37654.0"/>
        <n v="16761.0"/>
        <n v="16553.0"/>
        <n v="14790.0"/>
        <n v="23932.0"/>
        <n v="4701.0"/>
        <n v="11394.0"/>
        <n v="22358.0"/>
        <n v="3140.0"/>
        <n v="26739.0"/>
        <n v="5849.0"/>
        <n v="4885.0"/>
        <n v="29320.0"/>
        <n v="26366.0"/>
        <n v="6557.0"/>
        <n v="16556.0"/>
        <n v="9358.0"/>
        <n v="9287.0"/>
        <n v="24527.0"/>
        <n v="39573.0"/>
        <n v="23143.0"/>
        <n v="48464.0"/>
        <n v="22740.0"/>
        <n v="5946.0"/>
        <n v="12070.0"/>
        <n v="27458.0"/>
        <n v="39617.0"/>
        <n v="12129.0"/>
        <n v="10115.0"/>
        <n v="6922.0"/>
        <m/>
      </sharedItems>
    </cacheField>
    <cacheField name="Actual Fee " numFmtId="164">
      <sharedItems containsString="0" containsBlank="1" containsNumber="1" containsInteger="1">
        <n v="33318.0"/>
        <n v="9347.0"/>
        <n v="28021.0"/>
        <n v="44197.0"/>
        <n v="7766.0"/>
        <n v="18006.0"/>
        <n v="28741.0"/>
        <n v="46122.0"/>
        <n v="23778.0"/>
        <n v="7560.0"/>
        <n v="3490.0"/>
        <n v="45169.0"/>
        <n v="827.0"/>
        <n v="21296.0"/>
        <n v="2899.0"/>
        <n v="9478.0"/>
        <n v="10822.0"/>
        <n v="43577.0"/>
        <n v="25724.0"/>
        <n v="24407.0"/>
        <n v="29276.0"/>
        <n v="36496.0"/>
        <n v="32049.0"/>
        <n v="13350.0"/>
        <n v="10168.0"/>
        <n v="23097.0"/>
        <n v="53579.0"/>
        <n v="45160.0"/>
        <n v="18178.0"/>
        <n v="20739.0"/>
        <n v="10375.0"/>
        <n v="31570.0"/>
        <n v="6161.0"/>
        <n v="27180.0"/>
        <n v="17164.0"/>
        <n v="38472.0"/>
        <n v="40577.0"/>
        <n v="43451.0"/>
        <n v="24559.0"/>
        <n v="4546.0"/>
        <n v="3596.0"/>
        <n v="21783.0"/>
        <n v="15987.0"/>
        <n v="5716.0"/>
        <n v="5784.0"/>
        <n v="20336.0"/>
        <n v="29609.0"/>
        <n v="30727.0"/>
        <n v="12880.0"/>
        <n v="10718.0"/>
        <n v="9906.0"/>
        <n v="14843.0"/>
        <n v="29131.0"/>
        <n v="22345.0"/>
        <n v="13763.0"/>
        <n v="46667.0"/>
        <n v="37654.0"/>
        <n v="16761.0"/>
        <n v="8276.0"/>
        <n v="14790.0"/>
        <n v="23932.0"/>
        <n v="4701.0"/>
        <n v="11280.0"/>
        <n v="22134.0"/>
        <n v="3140.0"/>
        <n v="26739.0"/>
        <n v="5849.0"/>
        <n v="4885.0"/>
        <n v="29320.0"/>
        <n v="26102.0"/>
        <n v="6557.0"/>
        <n v="16390.0"/>
        <n v="9264.0"/>
        <n v="9287.0"/>
        <n v="24527.0"/>
        <n v="39573.0"/>
        <n v="11571.0"/>
        <n v="48464.0"/>
        <n v="22740.0"/>
        <n v="2973.0"/>
        <n v="11949.0"/>
        <n v="27183.0"/>
        <n v="39220.0"/>
        <n v="12129.0"/>
        <n v="5057.0"/>
        <n v="6922.0"/>
        <m/>
      </sharedItems>
    </cacheField>
    <cacheField name="Fee Variance" numFmtId="164">
      <sharedItems containsString="0" containsBlank="1" containsNumber="1" containsInteger="1">
        <n v="0.0"/>
        <n v="182.0"/>
        <n v="36.0"/>
        <n v="9.0"/>
        <n v="30.0"/>
        <n v="96.0"/>
        <n v="110.0"/>
        <n v="369.0"/>
        <n v="457.0"/>
        <n v="184.0"/>
        <n v="20739.0"/>
        <n v="10375.0"/>
        <n v="6162.0"/>
        <n v="275.0"/>
        <n v="410.0"/>
        <n v="4546.0"/>
        <n v="37.0"/>
        <n v="5716.0"/>
        <n v="59.0"/>
        <n v="206.0"/>
        <n v="150.0"/>
        <n v="226.0"/>
        <n v="8277.0"/>
        <n v="114.0"/>
        <n v="224.0"/>
        <n v="264.0"/>
        <n v="166.0"/>
        <n v="94.0"/>
        <n v="11572.0"/>
        <n v="2973.0"/>
        <n v="121.0"/>
        <n v="397.0"/>
        <n v="5058.0"/>
        <m/>
      </sharedItems>
    </cacheField>
    <cacheField name="Status" numFmtId="0">
      <sharedItems containsBlank="1">
        <s v="EXCEPTION"/>
        <m/>
      </sharedItems>
    </cacheField>
    <cacheField name="Reason" numFmtId="0">
      <sharedItems containsBlank="1">
        <m/>
        <s v="System Error"/>
        <s v="Partial Payment"/>
        <s v="Rate Change"/>
        <s v="Prepayment"/>
        <s v="Waiver Applied"/>
      </sharedItems>
    </cacheField>
    <cacheField name="Action Required" numFmtId="0">
      <sharedItems containsBlank="1">
        <s v=""/>
        <s v="Escalate to tech team"/>
        <s v="Contact customer for balance"/>
        <s v="Update loan agreement"/>
        <s v="Update schedule, recalculate interest"/>
        <s v="Verify approval, update ledger"/>
        <m/>
      </sharedItems>
    </cacheField>
    <cacheField name="Lender" numFmtId="0">
      <sharedItems containsBlank="1">
        <s v="DMI"/>
        <s v="Tata Capital"/>
        <s v="Piramal"/>
        <s v="Northern Arc"/>
        <s v="Liquiloans"/>
        <m/>
      </sharedItems>
    </cacheField>
    <cacheField name="Total variance" numFmtId="164">
      <sharedItems containsString="0" containsBlank="1" containsNumber="1" containsInteger="1">
        <n v="6118.0"/>
        <n v="-435.0"/>
        <n v="74971.0"/>
        <n v="-15977.0"/>
        <n v="19996.0"/>
        <n v="182.0"/>
        <n v="5007.0"/>
        <n v="-4772.0"/>
        <n v="19178.0"/>
        <n v="-351.0"/>
        <n v="36.0"/>
        <n v="-765.0"/>
        <n v="9.0"/>
        <n v="2634.0"/>
        <n v="30.0"/>
        <n v="96.0"/>
        <n v="110.0"/>
        <n v="7253.0"/>
        <n v="-674.0"/>
        <n v="-4404.0"/>
        <n v="-2082.0"/>
        <n v="369.0"/>
        <n v="5925.0"/>
        <n v="45041.0"/>
        <n v="21338.0"/>
        <n v="620.0"/>
        <n v="8779.0"/>
        <n v="457.0"/>
        <n v="184.0"/>
        <n v="54130.0"/>
        <n v="18213.0"/>
        <n v="-596.0"/>
        <n v="7344.0"/>
        <n v="275.0"/>
        <n v="2801.0"/>
        <n v="-15548.0"/>
        <n v="410.0"/>
        <n v="-3630.0"/>
        <n v="2688.0"/>
        <n v="7233.0"/>
        <n v="37.0"/>
        <n v="4362.0"/>
        <n v="2977.0"/>
        <n v="19681.0"/>
        <n v="59.0"/>
        <n v="2938.0"/>
        <n v="-130.0"/>
        <n v="-799.0"/>
        <n v="-1363.0"/>
        <n v="1934.0"/>
        <n v="7438.0"/>
        <n v="150.0"/>
        <n v="169987.0"/>
        <n v="226.0"/>
        <n v="-803.0"/>
        <n v="105787.0"/>
        <n v="-727.0"/>
        <n v="-591.0"/>
        <n v="17783.0"/>
        <n v="-2752.0"/>
        <n v="44442.0"/>
        <n v="-414.0"/>
        <n v="114.0"/>
        <n v="224.0"/>
        <n v="647.0"/>
        <n v="122966.0"/>
        <n v="1127.0"/>
        <n v="578.0"/>
        <n v="-445.0"/>
        <n v="264.0"/>
        <n v="5809.0"/>
        <n v="166.0"/>
        <n v="94.0"/>
        <n v="39379.0"/>
        <n v="43026.0"/>
        <n v="111162.0"/>
        <n v="17507.0"/>
        <n v="5249.0"/>
        <n v="59658.0"/>
        <n v="7708.0"/>
        <n v="121.0"/>
        <n v="397.0"/>
        <n v="-7076.0"/>
        <n v="12416.0"/>
        <n v="1635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87" sheet="Exception_Report"/>
  </cacheSource>
  <cacheFields>
    <cacheField name="loan_id " numFmtId="0">
      <sharedItems>
        <s v="LN-10001"/>
        <s v="LN-10002"/>
        <s v="LN-10008"/>
        <s v="LN-10011"/>
        <s v="LN-10013"/>
        <s v="LN-10015"/>
        <s v="LN-10018"/>
        <s v="LN-10026"/>
        <s v="LN-10027"/>
        <s v="LN-10033"/>
        <s v="LN-10037"/>
        <s v="LN-10040"/>
        <s v="LN-10044"/>
        <s v="LN-10045"/>
        <s v="LN-10048"/>
        <s v="LN-10051"/>
        <s v="LN-10056"/>
        <s v="LN-10062"/>
        <s v="LN-10069"/>
        <s v="LN-10075"/>
        <s v="LN-10076"/>
        <s v="LN-10081"/>
        <s v="LN-10082"/>
        <s v="LN-10085"/>
        <s v="LN-10087"/>
        <s v="LN-10091"/>
        <s v="LN-10093"/>
        <s v="LN-10097"/>
        <s v="LN-10098"/>
        <s v="LN-10102"/>
        <s v="LN-10105"/>
        <s v="LN-10110"/>
        <s v="LN-10118"/>
        <s v="LN-10125"/>
        <s v="LN-10127"/>
        <s v="LN-10131"/>
        <s v="LN-10132"/>
        <s v="LN-10135"/>
        <s v="LN-10140"/>
        <s v="LN-10141"/>
        <s v="LN-10147"/>
        <s v="LN-10151"/>
        <s v="LN-10157"/>
        <s v="LN-10162"/>
        <s v="LN-10166"/>
        <s v="LN-10172"/>
        <s v="LN-10174"/>
        <s v="LN-10180"/>
        <s v="LN-10194"/>
        <s v="LN-10196"/>
        <s v="LN-10203"/>
        <s v="LN-10204"/>
        <s v="LN-10208"/>
        <s v="LN-10210"/>
        <s v="LN-10212"/>
        <s v="LN-10213"/>
        <s v="LN-10218"/>
        <s v="LN-10220"/>
        <s v="LN-10223"/>
        <s v="LN-10224"/>
        <s v="LN-10229"/>
        <s v="LN-10230"/>
        <s v="LN-10231"/>
        <s v="LN-10233"/>
        <s v="LN-10240"/>
        <s v="LN-10241"/>
        <s v="LN-10242"/>
        <s v="LN-10245"/>
        <s v="LN-10249"/>
        <s v="LN-10250"/>
        <s v="LN-10252"/>
        <s v="LN-10254"/>
        <s v="LN-10255"/>
        <s v="LN-10257"/>
        <s v="LN-10258"/>
        <s v="LN-10260"/>
        <s v="LN-10264"/>
        <s v="LN-10265"/>
        <s v="LN-10272"/>
        <s v="LN-10274"/>
        <s v="LN-10281"/>
        <s v="LN-10285"/>
        <s v="LN-10289"/>
        <s v="LN-10291"/>
        <s v="LN-10293"/>
        <s v="LN-10294"/>
      </sharedItems>
    </cacheField>
    <cacheField name="Expected Interest" numFmtId="164">
      <sharedItems containsSemiMixedTypes="0" containsString="0" containsNumber="1" containsInteger="1">
        <n v="305868.0"/>
        <n v="70319.0"/>
        <n v="187426.0"/>
        <n v="319543.0"/>
        <n v="99978.0"/>
        <n v="214052.0"/>
        <n v="250333.0"/>
        <n v="95442.0"/>
        <n v="47945.0"/>
        <n v="52973.0"/>
        <n v="5410.0"/>
        <n v="36428.0"/>
        <n v="7409.0"/>
        <n v="131700.0"/>
        <n v="22297.0"/>
        <n v="82659.0"/>
        <n v="58280.0"/>
        <n v="362648.0"/>
        <n v="109536.0"/>
        <n v="88094.0"/>
        <n v="41646.0"/>
        <n v="291821.0"/>
        <n v="296219.0"/>
        <n v="112602.0"/>
        <n v="53344.0"/>
        <n v="30963.0"/>
        <n v="43894.0"/>
        <n v="286683.0"/>
        <n v="188079.0"/>
        <n v="333909.0"/>
        <n v="78377.0"/>
        <n v="105195.0"/>
        <n v="11813.0"/>
        <n v="396217.0"/>
        <n v="140015.0"/>
        <n v="310973.0"/>
        <n v="358817.0"/>
        <n v="72617.0"/>
        <n v="134365.0"/>
        <n v="26864.0"/>
        <n v="20030.0"/>
        <n v="218076.0"/>
        <n v="148836.0"/>
        <n v="139650.0"/>
        <n v="24798.0"/>
        <n v="136590.0"/>
        <n v="178739.0"/>
        <n v="79336.0"/>
        <n v="27266.0"/>
        <n v="96653.0"/>
        <n v="37186.0"/>
        <n v="106109.0"/>
        <n v="424966.0"/>
        <n v="197606.0"/>
        <n v="67038.0"/>
        <n v="264467.0"/>
        <n v="182595.0"/>
        <n v="174227.0"/>
        <n v="95059.0"/>
        <n v="55054.0"/>
        <n v="111104.0"/>
        <n v="61370.0"/>
        <n v="69133.0"/>
        <n v="59548.0"/>
        <n v="32332.0"/>
        <n v="307415.0"/>
        <n v="56302.0"/>
        <n v="28873.0"/>
        <n v="138528.0"/>
        <n v="312120.0"/>
        <n v="29041.0"/>
        <n v="149578.0"/>
        <n v="133519.0"/>
        <n v="98446.0"/>
        <n v="107565.0"/>
        <n v="277903.0"/>
        <n v="59348.0"/>
        <n v="262408.0"/>
        <n v="149144.0"/>
        <n v="47347.0"/>
        <n v="35631.0"/>
        <n v="95404.0"/>
        <n v="223176.0"/>
        <n v="141525.0"/>
        <n v="73572.0"/>
        <n v="81747.0"/>
      </sharedItems>
    </cacheField>
    <cacheField name="Actual Interest" numFmtId="164">
      <sharedItems containsSemiMixedTypes="0" containsString="0" containsNumber="1" containsInteger="1">
        <n v="299750.0"/>
        <n v="70754.0"/>
        <n v="112455.0"/>
        <n v="335520.0"/>
        <n v="79982.0"/>
        <n v="214052.0"/>
        <n v="245326.0"/>
        <n v="100214.0"/>
        <n v="28767.0"/>
        <n v="53324.0"/>
        <n v="5410.0"/>
        <n v="37193.0"/>
        <n v="7409.0"/>
        <n v="129066.0"/>
        <n v="22297.0"/>
        <n v="82659.0"/>
        <n v="58280.0"/>
        <n v="355395.0"/>
        <n v="110210.0"/>
        <n v="92498.0"/>
        <n v="43728.0"/>
        <n v="291821.0"/>
        <n v="290294.0"/>
        <n v="67561.0"/>
        <n v="32006.0"/>
        <n v="30343.0"/>
        <n v="35115.0"/>
        <n v="286683.0"/>
        <n v="188079.0"/>
        <n v="300518.0"/>
        <n v="70539.0"/>
        <n v="105791.0"/>
        <n v="10631.0"/>
        <n v="396217.0"/>
        <n v="137214.0"/>
        <n v="326521.0"/>
        <n v="358817.0"/>
        <n v="76247.0"/>
        <n v="131677.0"/>
        <n v="24177.0"/>
        <n v="20030.0"/>
        <n v="213714.0"/>
        <n v="145859.0"/>
        <n v="125685.0"/>
        <n v="24798.0"/>
        <n v="133858.0"/>
        <n v="178869.0"/>
        <n v="80135.0"/>
        <n v="28629.0"/>
        <n v="94719.0"/>
        <n v="29748.0"/>
        <n v="106109.0"/>
        <n v="254979.0"/>
        <n v="197606.0"/>
        <n v="67841.0"/>
        <n v="158680.0"/>
        <n v="183322.0"/>
        <n v="174818.0"/>
        <n v="85553.0"/>
        <n v="57806.0"/>
        <n v="66662.0"/>
        <n v="61784.0"/>
        <n v="69133.0"/>
        <n v="59548.0"/>
        <n v="31685.0"/>
        <n v="184449.0"/>
        <n v="55175.0"/>
        <n v="28295.0"/>
        <n v="138973.0"/>
        <n v="312120.0"/>
        <n v="23232.0"/>
        <n v="149578.0"/>
        <n v="133519.0"/>
        <n v="59067.0"/>
        <n v="64539.0"/>
        <n v="166741.0"/>
        <n v="53413.0"/>
        <n v="257159.0"/>
        <n v="89486.0"/>
        <n v="42612.0"/>
        <n v="35631.0"/>
        <n v="95404.0"/>
        <n v="223176.0"/>
        <n v="148601.0"/>
        <n v="66214.0"/>
        <n v="80112.0"/>
      </sharedItems>
    </cacheField>
    <cacheField name="Interest Variance" numFmtId="164">
      <sharedItems containsSemiMixedTypes="0" containsString="0" containsNumber="1" containsInteger="1">
        <n v="6118.0"/>
        <n v="-435.0"/>
        <n v="74971.0"/>
        <n v="-15977.0"/>
        <n v="19996.0"/>
        <n v="0.0"/>
        <n v="5007.0"/>
        <n v="-4772.0"/>
        <n v="19178.0"/>
        <n v="-351.0"/>
        <n v="-765.0"/>
        <n v="2634.0"/>
        <n v="7253.0"/>
        <n v="-674.0"/>
        <n v="-4404.0"/>
        <n v="-2082.0"/>
        <n v="5925.0"/>
        <n v="45041.0"/>
        <n v="21338.0"/>
        <n v="620.0"/>
        <n v="8779.0"/>
        <n v="33391.0"/>
        <n v="7838.0"/>
        <n v="-596.0"/>
        <n v="1182.0"/>
        <n v="2801.0"/>
        <n v="-15548.0"/>
        <n v="-3630.0"/>
        <n v="2688.0"/>
        <n v="2687.0"/>
        <n v="4362.0"/>
        <n v="2977.0"/>
        <n v="13965.0"/>
        <n v="2732.0"/>
        <n v="-130.0"/>
        <n v="-799.0"/>
        <n v="-1363.0"/>
        <n v="1934.0"/>
        <n v="7438.0"/>
        <n v="169987.0"/>
        <n v="-803.0"/>
        <n v="105787.0"/>
        <n v="-727.0"/>
        <n v="-591.0"/>
        <n v="9506.0"/>
        <n v="-2752.0"/>
        <n v="44442.0"/>
        <n v="-414.0"/>
        <n v="647.0"/>
        <n v="122966.0"/>
        <n v="1127.0"/>
        <n v="578.0"/>
        <n v="-445.0"/>
        <n v="5809.0"/>
        <n v="39379.0"/>
        <n v="43026.0"/>
        <n v="111162.0"/>
        <n v="5935.0"/>
        <n v="5249.0"/>
        <n v="59658.0"/>
        <n v="4735.0"/>
        <n v="-7076.0"/>
        <n v="7358.0"/>
        <n v="1635.0"/>
      </sharedItems>
    </cacheField>
    <cacheField name="Variance % " numFmtId="10">
      <sharedItems containsSemiMixedTypes="0" containsString="0" containsNumber="1">
        <n v="0.02000209240587443"/>
        <n v="-0.006186094796569917"/>
        <n v="0.400003201263432"/>
        <n v="-0.04999953057960901"/>
        <n v="0.20000400088019366"/>
        <n v="0.0"/>
        <n v="0.020001358190889735"/>
        <n v="-0.049998952243247206"/>
        <n v="0.4"/>
        <n v="-0.006626017027542333"/>
        <n v="-0.02100032941693203"/>
        <n v="0.02"/>
        <n v="0.020000110299794843"/>
        <n v="-0.006153228162430616"/>
        <n v="-0.04999205394237973"/>
        <n v="-0.04999279642702781"/>
        <n v="0.02000209304602338"/>
        <n v="0.400001776167386"/>
        <n v="0.40000749850029993"/>
        <n v="0.02002389949294319"/>
        <n v="0.2000045564314029"/>
        <n v="0.10000029948279322"/>
        <n v="0.1000038276535208"/>
        <n v="-0.0056656685203669375"/>
        <n v="0.100059256751037"/>
        <n v="0.020004999464343105"/>
        <n v="-0.04999790978638017"/>
        <n v="-0.04998829475191759"/>
        <n v="0.020005209690023444"/>
        <n v="0.10002233472304943"/>
        <n v="0.020002201067517746"/>
        <n v="0.02000188126528528"/>
        <n v="0.1"/>
        <n v="0.020001464236034848"/>
        <n v="-7.273174852718209E-4"/>
        <n v="-0.010071090047393365"/>
        <n v="-0.04998899728599721"/>
        <n v="0.020009725512917343"/>
        <n v="0.20002151347281236"/>
        <n v="0.4000014118776561"/>
        <n v="-0.01197828097496942"/>
        <n v="0.40000075623801834"/>
        <n v="-0.003981489087872067"/>
        <n v="-0.003392126363881603"/>
        <n v="0.10000105197824509"/>
        <n v="-0.04998728521088386"/>
        <n v="0.40000360023041476"/>
        <n v="-0.0067459670848948996"/>
        <n v="0.02001113447977236"/>
        <n v="0.020017050904053143"/>
        <n v="0.020018702594119073"/>
        <n v="-0.003212346962346962"/>
        <n v="0.20002754726076927"/>
        <n v="0.4000060947118217"/>
        <n v="0.400002878702281"/>
        <n v="0.10000336995349464"/>
        <n v="0.020003201121917016"/>
        <n v="0.4000026819717857"/>
        <n v="0.1000063361987032"/>
        <n v="-0.04999823352764529"/>
        <n v="0.10001087370195183"/>
        <n v="0.020000733971888878"/>
      </sharedItems>
    </cacheField>
    <cacheField name="Expected Fee" numFmtId="164">
      <sharedItems containsSemiMixedTypes="0" containsString="0" containsNumber="1" containsInteger="1">
        <n v="33318.0"/>
        <n v="9347.0"/>
        <n v="28021.0"/>
        <n v="44197.0"/>
        <n v="7766.0"/>
        <n v="18188.0"/>
        <n v="28741.0"/>
        <n v="46122.0"/>
        <n v="23778.0"/>
        <n v="7560.0"/>
        <n v="3526.0"/>
        <n v="45169.0"/>
        <n v="836.0"/>
        <n v="21296.0"/>
        <n v="2929.0"/>
        <n v="9574.0"/>
        <n v="10932.0"/>
        <n v="43577.0"/>
        <n v="25724.0"/>
        <n v="24407.0"/>
        <n v="29276.0"/>
        <n v="36865.0"/>
        <n v="32049.0"/>
        <n v="13350.0"/>
        <n v="10168.0"/>
        <n v="23097.0"/>
        <n v="53579.0"/>
        <n v="45617.0"/>
        <n v="18362.0"/>
        <n v="41478.0"/>
        <n v="20750.0"/>
        <n v="31570.0"/>
        <n v="12323.0"/>
        <n v="27455.0"/>
        <n v="17164.0"/>
        <n v="38472.0"/>
        <n v="40987.0"/>
        <n v="43451.0"/>
        <n v="24559.0"/>
        <n v="9092.0"/>
        <n v="3633.0"/>
        <n v="21783.0"/>
        <n v="15987.0"/>
        <n v="11432.0"/>
        <n v="5843.0"/>
        <n v="20542.0"/>
        <n v="29609.0"/>
        <n v="30727.0"/>
        <n v="12880.0"/>
        <n v="10718.0"/>
        <n v="9906.0"/>
        <n v="14993.0"/>
        <n v="29131.0"/>
        <n v="22571.0"/>
        <n v="13763.0"/>
        <n v="46667.0"/>
        <n v="37654.0"/>
        <n v="16761.0"/>
        <n v="16553.0"/>
        <n v="14790.0"/>
        <n v="23932.0"/>
        <n v="4701.0"/>
        <n v="11394.0"/>
        <n v="22358.0"/>
        <n v="3140.0"/>
        <n v="26739.0"/>
        <n v="5849.0"/>
        <n v="4885.0"/>
        <n v="29320.0"/>
        <n v="26366.0"/>
        <n v="6557.0"/>
        <n v="16556.0"/>
        <n v="9358.0"/>
        <n v="9287.0"/>
        <n v="24527.0"/>
        <n v="39573.0"/>
        <n v="23143.0"/>
        <n v="48464.0"/>
        <n v="22740.0"/>
        <n v="5946.0"/>
        <n v="12070.0"/>
        <n v="27458.0"/>
        <n v="39617.0"/>
        <n v="12129.0"/>
        <n v="10115.0"/>
        <n v="6922.0"/>
      </sharedItems>
    </cacheField>
    <cacheField name="Actual Fee " numFmtId="164">
      <sharedItems containsSemiMixedTypes="0" containsString="0" containsNumber="1" containsInteger="1">
        <n v="33318.0"/>
        <n v="9347.0"/>
        <n v="28021.0"/>
        <n v="44197.0"/>
        <n v="7766.0"/>
        <n v="18006.0"/>
        <n v="28741.0"/>
        <n v="46122.0"/>
        <n v="23778.0"/>
        <n v="7560.0"/>
        <n v="3490.0"/>
        <n v="45169.0"/>
        <n v="827.0"/>
        <n v="21296.0"/>
        <n v="2899.0"/>
        <n v="9478.0"/>
        <n v="10822.0"/>
        <n v="43577.0"/>
        <n v="25724.0"/>
        <n v="24407.0"/>
        <n v="29276.0"/>
        <n v="36496.0"/>
        <n v="32049.0"/>
        <n v="13350.0"/>
        <n v="10168.0"/>
        <n v="23097.0"/>
        <n v="53579.0"/>
        <n v="45160.0"/>
        <n v="18178.0"/>
        <n v="20739.0"/>
        <n v="10375.0"/>
        <n v="31570.0"/>
        <n v="6161.0"/>
        <n v="27180.0"/>
        <n v="17164.0"/>
        <n v="38472.0"/>
        <n v="40577.0"/>
        <n v="43451.0"/>
        <n v="24559.0"/>
        <n v="4546.0"/>
        <n v="3596.0"/>
        <n v="21783.0"/>
        <n v="15987.0"/>
        <n v="5716.0"/>
        <n v="5784.0"/>
        <n v="20336.0"/>
        <n v="29609.0"/>
        <n v="30727.0"/>
        <n v="12880.0"/>
        <n v="10718.0"/>
        <n v="9906.0"/>
        <n v="14843.0"/>
        <n v="29131.0"/>
        <n v="22345.0"/>
        <n v="13763.0"/>
        <n v="46667.0"/>
        <n v="37654.0"/>
        <n v="16761.0"/>
        <n v="8276.0"/>
        <n v="14790.0"/>
        <n v="23932.0"/>
        <n v="4701.0"/>
        <n v="11280.0"/>
        <n v="22134.0"/>
        <n v="3140.0"/>
        <n v="26739.0"/>
        <n v="5849.0"/>
        <n v="4885.0"/>
        <n v="29320.0"/>
        <n v="26102.0"/>
        <n v="6557.0"/>
        <n v="16390.0"/>
        <n v="9264.0"/>
        <n v="9287.0"/>
        <n v="24527.0"/>
        <n v="39573.0"/>
        <n v="11571.0"/>
        <n v="48464.0"/>
        <n v="22740.0"/>
        <n v="2973.0"/>
        <n v="11949.0"/>
        <n v="27183.0"/>
        <n v="39220.0"/>
        <n v="12129.0"/>
        <n v="5057.0"/>
        <n v="6922.0"/>
      </sharedItems>
    </cacheField>
    <cacheField name="Fee Variance" numFmtId="164">
      <sharedItems containsSemiMixedTypes="0" containsString="0" containsNumber="1" containsInteger="1">
        <n v="0.0"/>
        <n v="182.0"/>
        <n v="36.0"/>
        <n v="9.0"/>
        <n v="30.0"/>
        <n v="96.0"/>
        <n v="110.0"/>
        <n v="369.0"/>
        <n v="457.0"/>
        <n v="184.0"/>
        <n v="20739.0"/>
        <n v="10375.0"/>
        <n v="6162.0"/>
        <n v="275.0"/>
        <n v="410.0"/>
        <n v="4546.0"/>
        <n v="37.0"/>
        <n v="5716.0"/>
        <n v="59.0"/>
        <n v="206.0"/>
        <n v="150.0"/>
        <n v="226.0"/>
        <n v="8277.0"/>
        <n v="114.0"/>
        <n v="224.0"/>
        <n v="264.0"/>
        <n v="166.0"/>
        <n v="94.0"/>
        <n v="11572.0"/>
        <n v="2973.0"/>
        <n v="121.0"/>
        <n v="397.0"/>
        <n v="5058.0"/>
      </sharedItems>
    </cacheField>
    <cacheField name="Status" numFmtId="0">
      <sharedItems>
        <s v="EXCEPTION"/>
      </sharedItems>
    </cacheField>
    <cacheField name="Reason" numFmtId="0">
      <sharedItems containsBlank="1">
        <m/>
        <s v="System Error"/>
        <s v="Partial Payment"/>
        <s v="Rate Change"/>
        <s v="Prepayment"/>
        <s v="Waiver Applied"/>
      </sharedItems>
    </cacheField>
    <cacheField name="Action Required" numFmtId="0">
      <sharedItems>
        <s v=""/>
        <s v="Escalate to tech team"/>
        <s v="Contact customer for balance"/>
        <s v="Update loan agreement"/>
        <s v="Update schedule, recalculate interest"/>
        <s v="Verify approval, update ledger"/>
      </sharedItems>
    </cacheField>
    <cacheField name="Lender" numFmtId="0">
      <sharedItems>
        <s v="DMI"/>
        <s v="Tata Capital"/>
        <s v="Piramal"/>
        <s v="Northern Arc"/>
        <s v="Liquiloans"/>
      </sharedItems>
    </cacheField>
    <cacheField name="Total variance" numFmtId="164">
      <sharedItems containsSemiMixedTypes="0" containsString="0" containsNumber="1" containsInteger="1">
        <n v="6118.0"/>
        <n v="-435.0"/>
        <n v="74971.0"/>
        <n v="-15977.0"/>
        <n v="19996.0"/>
        <n v="182.0"/>
        <n v="5007.0"/>
        <n v="-4772.0"/>
        <n v="19178.0"/>
        <n v="-351.0"/>
        <n v="36.0"/>
        <n v="-765.0"/>
        <n v="9.0"/>
        <n v="2634.0"/>
        <n v="30.0"/>
        <n v="96.0"/>
        <n v="110.0"/>
        <n v="7253.0"/>
        <n v="-674.0"/>
        <n v="-4404.0"/>
        <n v="-2082.0"/>
        <n v="369.0"/>
        <n v="5925.0"/>
        <n v="45041.0"/>
        <n v="21338.0"/>
        <n v="620.0"/>
        <n v="8779.0"/>
        <n v="457.0"/>
        <n v="184.0"/>
        <n v="54130.0"/>
        <n v="18213.0"/>
        <n v="-596.0"/>
        <n v="7344.0"/>
        <n v="275.0"/>
        <n v="2801.0"/>
        <n v="-15548.0"/>
        <n v="410.0"/>
        <n v="-3630.0"/>
        <n v="2688.0"/>
        <n v="7233.0"/>
        <n v="37.0"/>
        <n v="4362.0"/>
        <n v="2977.0"/>
        <n v="19681.0"/>
        <n v="59.0"/>
        <n v="2938.0"/>
        <n v="-130.0"/>
        <n v="-799.0"/>
        <n v="-1363.0"/>
        <n v="1934.0"/>
        <n v="7438.0"/>
        <n v="150.0"/>
        <n v="169987.0"/>
        <n v="226.0"/>
        <n v="-803.0"/>
        <n v="105787.0"/>
        <n v="-727.0"/>
        <n v="-591.0"/>
        <n v="17783.0"/>
        <n v="-2752.0"/>
        <n v="44442.0"/>
        <n v="-414.0"/>
        <n v="114.0"/>
        <n v="224.0"/>
        <n v="647.0"/>
        <n v="122966.0"/>
        <n v="1127.0"/>
        <n v="578.0"/>
        <n v="-445.0"/>
        <n v="264.0"/>
        <n v="5809.0"/>
        <n v="166.0"/>
        <n v="94.0"/>
        <n v="39379.0"/>
        <n v="43026.0"/>
        <n v="111162.0"/>
        <n v="17507.0"/>
        <n v="5249.0"/>
        <n v="59658.0"/>
        <n v="7708.0"/>
        <n v="121.0"/>
        <n v="397.0"/>
        <n v="-7076.0"/>
        <n v="12416.0"/>
        <n v="1635.0"/>
      </sharedItems>
    </cacheField>
    <cacheField name="product_type" numFmtId="0">
      <sharedItems>
        <s v="Personal Loan"/>
        <s v="Business Loan"/>
        <s v="Home Loan"/>
        <s v="Gold Loan"/>
      </sharedItems>
    </cacheField>
    <cacheField name="month" numFmtId="0">
      <sharedItems containsSemiMixedTypes="0" containsString="0" containsNumber="1" containsInteger="1">
        <n v="3.0"/>
        <n v="6.0"/>
        <n v="7.0"/>
        <n v="5.0"/>
        <n v="4.0"/>
        <n v="1.0"/>
        <n v="2.0"/>
        <n v="11.0"/>
        <n v="8.0"/>
        <n v="10.0"/>
        <n v="9.0"/>
        <n v="12.0"/>
      </sharedItems>
    </cacheField>
    <cacheField name="reason2" numFmtId="0">
      <sharedItems containsBlank="1">
        <s v="System Error"/>
        <s v="Partial Payment"/>
        <s v="Rate Change"/>
        <s v="Prepayment"/>
        <s v="Waiver Applied"/>
        <m/>
      </sharedItems>
    </cacheField>
    <cacheField name="Count of Loans" numFmtId="0">
      <sharedItems containsString="0" containsBlank="1" containsNumber="1" containsInteger="1">
        <n v="12.0"/>
        <n v="9.0"/>
        <n v="4.0"/>
        <m/>
      </sharedItems>
    </cacheField>
    <cacheField name="total variance2" numFmtId="0">
      <sharedItems containsString="0" containsBlank="1" containsNumber="1" containsInteger="1">
        <n v="-6730.0"/>
        <n v="856935.0"/>
        <n v="-57604.0"/>
        <n v="42022.0"/>
        <n v="162015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Dashboard" cacheId="0" dataCaption="" compact="0" compactData="0">
  <location ref="A1:C8" firstHeaderRow="0" firstDataRow="2" firstDataCol="0"/>
  <pivotFields>
    <pivotField name="loan_id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Expected Intere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Actual Intere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Interest Varian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Variance % 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Expected Fe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Actual Fee 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Fee Varian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Rea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ction Require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ender" axis="axisRow" compact="0" outline="0" multipleItemSelectionAllowed="1" showAll="0" sortType="ascending">
      <items>
        <item x="5"/>
        <item x="0"/>
        <item x="4"/>
        <item x="3"/>
        <item x="2"/>
        <item x="1"/>
        <item t="default"/>
      </items>
    </pivotField>
    <pivotField name="Total varianc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</pivotFields>
  <rowFields>
    <field x="11"/>
  </rowFields>
  <colFields>
    <field x="-2"/>
  </colFields>
  <dataFields>
    <dataField name="COUNTA of loan_id " fld="0" subtotal="count" baseField="0"/>
    <dataField name="SUM of Total variance" fld="12" baseField="0"/>
  </dataFields>
</pivotTableDefinition>
</file>

<file path=xl/pivotTables/pivotTable2.xml><?xml version="1.0" encoding="utf-8"?>
<pivotTableDefinition xmlns="http://schemas.openxmlformats.org/spreadsheetml/2006/main" name="Dashboard 2" cacheId="1" dataCaption="" compact="0" compactData="0">
  <location ref="A21:B34" firstHeaderRow="0" firstDataRow="1" firstDataCol="0"/>
  <pivotFields>
    <pivotField name="loan_id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Expected Intere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Actual Intere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Interest Varian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Variance % 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Expected Fe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Actual Fee 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Fee Varian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Status" compact="0" outline="0" multipleItemSelectionAllowed="1" showAll="0">
      <items>
        <item x="0"/>
        <item t="default"/>
      </items>
    </pivotField>
    <pivotField name="Rea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ction Require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end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varian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product_type" compact="0" outline="0" multipleItemSelectionAllowed="1" showAll="0">
      <items>
        <item x="0"/>
        <item x="1"/>
        <item x="2"/>
        <item x="3"/>
        <item t="default"/>
      </items>
    </pivotField>
    <pivotField name="month" axis="axisRow" compact="0" outline="0" multipleItemSelectionAllowed="1" showAll="0" sortType="ascending">
      <items>
        <item x="5"/>
        <item x="6"/>
        <item x="0"/>
        <item x="4"/>
        <item x="3"/>
        <item x="1"/>
        <item x="2"/>
        <item x="8"/>
        <item x="10"/>
        <item x="9"/>
        <item x="7"/>
        <item x="11"/>
        <item t="default"/>
      </items>
    </pivotField>
    <pivotField name="reason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unt of Loans" compact="0" outline="0" multipleItemSelectionAllowed="1" showAll="0">
      <items>
        <item x="0"/>
        <item x="1"/>
        <item x="2"/>
        <item x="3"/>
        <item t="default"/>
      </items>
    </pivotField>
    <pivotField name="total variance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4"/>
  </rowFields>
  <dataFields>
    <dataField name="COUNTA of loan_id 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7.38"/>
    <col customWidth="1" min="10" max="10" width="19.7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</row>
    <row r="2">
      <c r="A2" s="1" t="s">
        <v>11</v>
      </c>
      <c r="B2" s="4">
        <v>45739.0</v>
      </c>
      <c r="C2" s="2">
        <v>1990685.0</v>
      </c>
      <c r="D2" s="3">
        <v>13.17</v>
      </c>
      <c r="E2" s="1">
        <v>36.0</v>
      </c>
      <c r="F2" s="1" t="s">
        <v>12</v>
      </c>
      <c r="G2" s="1" t="s">
        <v>13</v>
      </c>
      <c r="H2" s="1" t="s">
        <v>14</v>
      </c>
      <c r="I2" s="2">
        <v>305868.0</v>
      </c>
      <c r="J2" s="2">
        <v>33318.0</v>
      </c>
      <c r="K2" s="5">
        <f t="shared" ref="K2:K301" si="1">MONTH(B2)</f>
        <v>3</v>
      </c>
    </row>
    <row r="3">
      <c r="A3" s="1" t="s">
        <v>15</v>
      </c>
      <c r="B3" s="4">
        <v>45811.0</v>
      </c>
      <c r="C3" s="2">
        <v>472946.0</v>
      </c>
      <c r="D3" s="3">
        <v>16.22</v>
      </c>
      <c r="E3" s="1">
        <v>24.0</v>
      </c>
      <c r="F3" s="1" t="s">
        <v>16</v>
      </c>
      <c r="G3" s="1" t="s">
        <v>17</v>
      </c>
      <c r="H3" s="1" t="s">
        <v>14</v>
      </c>
      <c r="I3" s="2">
        <v>70319.0</v>
      </c>
      <c r="J3" s="2">
        <v>9347.0</v>
      </c>
      <c r="K3" s="5">
        <f t="shared" si="1"/>
        <v>6</v>
      </c>
    </row>
    <row r="4">
      <c r="A4" s="1" t="s">
        <v>18</v>
      </c>
      <c r="B4" s="4">
        <v>45891.0</v>
      </c>
      <c r="C4" s="2">
        <v>1164468.0</v>
      </c>
      <c r="D4" s="3">
        <v>13.4</v>
      </c>
      <c r="E4" s="1">
        <v>60.0</v>
      </c>
      <c r="F4" s="1" t="s">
        <v>19</v>
      </c>
      <c r="G4" s="1" t="s">
        <v>20</v>
      </c>
      <c r="H4" s="1" t="s">
        <v>14</v>
      </c>
      <c r="I4" s="2">
        <v>117029.0</v>
      </c>
      <c r="J4" s="2">
        <v>12951.0</v>
      </c>
      <c r="K4" s="5">
        <f t="shared" si="1"/>
        <v>8</v>
      </c>
    </row>
    <row r="5">
      <c r="A5" s="1" t="s">
        <v>21</v>
      </c>
      <c r="B5" s="4">
        <v>46078.0</v>
      </c>
      <c r="C5" s="2">
        <v>1287900.0</v>
      </c>
      <c r="D5" s="3">
        <v>9.09</v>
      </c>
      <c r="E5" s="1">
        <v>24.0</v>
      </c>
      <c r="F5" s="1" t="s">
        <v>12</v>
      </c>
      <c r="G5" s="1" t="s">
        <v>22</v>
      </c>
      <c r="H5" s="1" t="s">
        <v>14</v>
      </c>
      <c r="I5" s="2">
        <v>19511.0</v>
      </c>
      <c r="J5" s="2">
        <v>24107.0</v>
      </c>
      <c r="K5" s="5">
        <f t="shared" si="1"/>
        <v>2</v>
      </c>
    </row>
    <row r="6">
      <c r="A6" s="1" t="s">
        <v>23</v>
      </c>
      <c r="B6" s="4">
        <v>45744.0</v>
      </c>
      <c r="C6" s="2">
        <v>274729.0</v>
      </c>
      <c r="D6" s="3">
        <v>12.7</v>
      </c>
      <c r="E6" s="1">
        <v>48.0</v>
      </c>
      <c r="F6" s="1" t="s">
        <v>12</v>
      </c>
      <c r="G6" s="1" t="s">
        <v>20</v>
      </c>
      <c r="H6" s="1" t="s">
        <v>14</v>
      </c>
      <c r="I6" s="2">
        <v>37798.0</v>
      </c>
      <c r="J6" s="2">
        <v>2801.0</v>
      </c>
      <c r="K6" s="5">
        <f t="shared" si="1"/>
        <v>3</v>
      </c>
    </row>
    <row r="7">
      <c r="A7" s="1" t="s">
        <v>24</v>
      </c>
      <c r="B7" s="4">
        <v>45736.0</v>
      </c>
      <c r="C7" s="2">
        <v>2292520.0</v>
      </c>
      <c r="D7" s="3">
        <v>8.94</v>
      </c>
      <c r="E7" s="1">
        <v>24.0</v>
      </c>
      <c r="F7" s="1" t="s">
        <v>16</v>
      </c>
      <c r="G7" s="1" t="s">
        <v>13</v>
      </c>
      <c r="H7" s="1" t="s">
        <v>25</v>
      </c>
      <c r="I7" s="2">
        <v>239109.0</v>
      </c>
      <c r="J7" s="2">
        <v>45022.0</v>
      </c>
      <c r="K7" s="5">
        <f t="shared" si="1"/>
        <v>3</v>
      </c>
    </row>
    <row r="8">
      <c r="A8" s="1" t="s">
        <v>26</v>
      </c>
      <c r="B8" s="4">
        <v>45949.0</v>
      </c>
      <c r="C8" s="2">
        <v>370948.0</v>
      </c>
      <c r="D8" s="3">
        <v>13.8</v>
      </c>
      <c r="E8" s="1">
        <v>36.0</v>
      </c>
      <c r="F8" s="1" t="s">
        <v>27</v>
      </c>
      <c r="G8" s="1" t="s">
        <v>20</v>
      </c>
      <c r="H8" s="1" t="s">
        <v>14</v>
      </c>
      <c r="I8" s="2">
        <v>29861.0</v>
      </c>
      <c r="J8" s="2">
        <v>4583.0</v>
      </c>
      <c r="K8" s="5">
        <f t="shared" si="1"/>
        <v>10</v>
      </c>
    </row>
    <row r="9">
      <c r="A9" s="1" t="s">
        <v>28</v>
      </c>
      <c r="B9" s="4">
        <v>45858.0</v>
      </c>
      <c r="C9" s="2">
        <v>2512975.0</v>
      </c>
      <c r="D9" s="3">
        <v>8.95</v>
      </c>
      <c r="E9" s="1">
        <v>48.0</v>
      </c>
      <c r="F9" s="1" t="s">
        <v>16</v>
      </c>
      <c r="G9" s="1" t="s">
        <v>17</v>
      </c>
      <c r="H9" s="1" t="s">
        <v>14</v>
      </c>
      <c r="I9" s="2">
        <v>187426.0</v>
      </c>
      <c r="J9" s="2">
        <v>28021.0</v>
      </c>
      <c r="K9" s="5">
        <f t="shared" si="1"/>
        <v>7</v>
      </c>
    </row>
    <row r="10">
      <c r="A10" s="1" t="s">
        <v>29</v>
      </c>
      <c r="B10" s="4">
        <v>45959.0</v>
      </c>
      <c r="C10" s="2">
        <v>2171036.0</v>
      </c>
      <c r="D10" s="3">
        <v>9.58</v>
      </c>
      <c r="E10" s="1">
        <v>12.0</v>
      </c>
      <c r="F10" s="1" t="s">
        <v>16</v>
      </c>
      <c r="G10" s="1" t="s">
        <v>22</v>
      </c>
      <c r="H10" s="1" t="s">
        <v>14</v>
      </c>
      <c r="I10" s="2">
        <v>103992.0</v>
      </c>
      <c r="J10" s="2">
        <v>34379.0</v>
      </c>
      <c r="K10" s="5">
        <f t="shared" si="1"/>
        <v>10</v>
      </c>
    </row>
    <row r="11">
      <c r="A11" s="1" t="s">
        <v>30</v>
      </c>
      <c r="B11" s="4">
        <v>45752.0</v>
      </c>
      <c r="C11" s="2">
        <v>1684888.0</v>
      </c>
      <c r="D11" s="3">
        <v>12.61</v>
      </c>
      <c r="E11" s="1">
        <v>48.0</v>
      </c>
      <c r="F11" s="1" t="s">
        <v>12</v>
      </c>
      <c r="G11" s="1" t="s">
        <v>22</v>
      </c>
      <c r="H11" s="1" t="s">
        <v>14</v>
      </c>
      <c r="I11" s="2">
        <v>230169.0</v>
      </c>
      <c r="J11" s="2">
        <v>31790.0</v>
      </c>
      <c r="K11" s="5">
        <f t="shared" si="1"/>
        <v>4</v>
      </c>
    </row>
    <row r="12">
      <c r="A12" s="1" t="s">
        <v>31</v>
      </c>
      <c r="B12" s="4">
        <v>45796.0</v>
      </c>
      <c r="C12" s="2">
        <v>2707996.0</v>
      </c>
      <c r="D12" s="3">
        <v>11.8</v>
      </c>
      <c r="E12" s="1">
        <v>24.0</v>
      </c>
      <c r="F12" s="1" t="s">
        <v>19</v>
      </c>
      <c r="G12" s="1" t="s">
        <v>17</v>
      </c>
      <c r="H12" s="1" t="s">
        <v>14</v>
      </c>
      <c r="I12" s="2">
        <v>319543.0</v>
      </c>
      <c r="J12" s="2">
        <v>44197.0</v>
      </c>
      <c r="K12" s="5">
        <f t="shared" si="1"/>
        <v>5</v>
      </c>
    </row>
    <row r="13">
      <c r="A13" s="1" t="s">
        <v>32</v>
      </c>
      <c r="B13" s="4">
        <v>45915.0</v>
      </c>
      <c r="C13" s="2">
        <v>160641.0</v>
      </c>
      <c r="D13" s="3">
        <v>12.24</v>
      </c>
      <c r="E13" s="1">
        <v>60.0</v>
      </c>
      <c r="F13" s="1" t="s">
        <v>16</v>
      </c>
      <c r="G13" s="1" t="s">
        <v>13</v>
      </c>
      <c r="H13" s="1" t="s">
        <v>25</v>
      </c>
      <c r="I13" s="2">
        <v>13108.0</v>
      </c>
      <c r="J13" s="2">
        <v>3158.0</v>
      </c>
      <c r="K13" s="5">
        <f t="shared" si="1"/>
        <v>9</v>
      </c>
    </row>
    <row r="14">
      <c r="A14" s="1" t="s">
        <v>33</v>
      </c>
      <c r="B14" s="4">
        <v>45741.0</v>
      </c>
      <c r="C14" s="2">
        <v>607774.0</v>
      </c>
      <c r="D14" s="3">
        <v>14.1</v>
      </c>
      <c r="E14" s="1">
        <v>24.0</v>
      </c>
      <c r="F14" s="1" t="s">
        <v>27</v>
      </c>
      <c r="G14" s="1" t="s">
        <v>13</v>
      </c>
      <c r="H14" s="1" t="s">
        <v>14</v>
      </c>
      <c r="I14" s="2">
        <v>99978.0</v>
      </c>
      <c r="J14" s="2">
        <v>7766.0</v>
      </c>
      <c r="K14" s="5">
        <f t="shared" si="1"/>
        <v>3</v>
      </c>
    </row>
    <row r="15">
      <c r="A15" s="1" t="s">
        <v>34</v>
      </c>
      <c r="B15" s="4">
        <v>46070.0</v>
      </c>
      <c r="C15" s="2">
        <v>1095377.0</v>
      </c>
      <c r="D15" s="3">
        <v>8.93</v>
      </c>
      <c r="E15" s="1">
        <v>12.0</v>
      </c>
      <c r="F15" s="1" t="s">
        <v>16</v>
      </c>
      <c r="G15" s="1" t="s">
        <v>35</v>
      </c>
      <c r="H15" s="1" t="s">
        <v>14</v>
      </c>
      <c r="I15" s="2">
        <v>24454.0</v>
      </c>
      <c r="J15" s="2">
        <v>11423.0</v>
      </c>
      <c r="K15" s="5">
        <f t="shared" si="1"/>
        <v>2</v>
      </c>
    </row>
    <row r="16">
      <c r="A16" s="1" t="s">
        <v>36</v>
      </c>
      <c r="B16" s="4">
        <v>45775.0</v>
      </c>
      <c r="C16" s="2">
        <v>1476227.0</v>
      </c>
      <c r="D16" s="3">
        <v>14.5</v>
      </c>
      <c r="E16" s="1">
        <v>24.0</v>
      </c>
      <c r="F16" s="1" t="s">
        <v>27</v>
      </c>
      <c r="G16" s="1" t="s">
        <v>20</v>
      </c>
      <c r="H16" s="1" t="s">
        <v>14</v>
      </c>
      <c r="I16" s="2">
        <v>214052.0</v>
      </c>
      <c r="J16" s="2">
        <v>18188.0</v>
      </c>
      <c r="K16" s="5">
        <f t="shared" si="1"/>
        <v>4</v>
      </c>
    </row>
    <row r="17">
      <c r="A17" s="1" t="s">
        <v>37</v>
      </c>
      <c r="B17" s="4">
        <v>46120.0</v>
      </c>
      <c r="C17" s="2">
        <v>2807262.0</v>
      </c>
      <c r="D17" s="3">
        <v>16.82</v>
      </c>
      <c r="E17" s="1">
        <v>60.0</v>
      </c>
      <c r="F17" s="1" t="s">
        <v>19</v>
      </c>
      <c r="G17" s="1" t="s">
        <v>13</v>
      </c>
      <c r="H17" s="1" t="s">
        <v>14</v>
      </c>
      <c r="I17" s="2">
        <v>39348.0</v>
      </c>
      <c r="J17" s="2">
        <v>50359.0</v>
      </c>
      <c r="K17" s="5">
        <f t="shared" si="1"/>
        <v>4</v>
      </c>
    </row>
    <row r="18">
      <c r="A18" s="1" t="s">
        <v>38</v>
      </c>
      <c r="B18" s="4">
        <v>45955.0</v>
      </c>
      <c r="C18" s="2">
        <v>1587335.0</v>
      </c>
      <c r="D18" s="3">
        <v>15.58</v>
      </c>
      <c r="E18" s="1">
        <v>24.0</v>
      </c>
      <c r="F18" s="1" t="s">
        <v>12</v>
      </c>
      <c r="G18" s="1" t="s">
        <v>22</v>
      </c>
      <c r="H18" s="1" t="s">
        <v>25</v>
      </c>
      <c r="I18" s="2">
        <v>123653.0</v>
      </c>
      <c r="J18" s="2">
        <v>22061.0</v>
      </c>
      <c r="K18" s="5">
        <f t="shared" si="1"/>
        <v>10</v>
      </c>
    </row>
    <row r="19">
      <c r="A19" s="1" t="s">
        <v>39</v>
      </c>
      <c r="B19" s="4">
        <v>45795.0</v>
      </c>
      <c r="C19" s="2">
        <v>2063758.0</v>
      </c>
      <c r="D19" s="3">
        <v>12.13</v>
      </c>
      <c r="E19" s="1">
        <v>48.0</v>
      </c>
      <c r="F19" s="1" t="s">
        <v>12</v>
      </c>
      <c r="G19" s="1" t="s">
        <v>22</v>
      </c>
      <c r="H19" s="1" t="s">
        <v>25</v>
      </c>
      <c r="I19" s="2">
        <v>250333.0</v>
      </c>
      <c r="J19" s="2">
        <v>28741.0</v>
      </c>
      <c r="K19" s="5">
        <f t="shared" si="1"/>
        <v>5</v>
      </c>
    </row>
    <row r="20">
      <c r="A20" s="1" t="s">
        <v>40</v>
      </c>
      <c r="B20" s="4">
        <v>46120.0</v>
      </c>
      <c r="C20" s="2">
        <v>491080.0</v>
      </c>
      <c r="D20" s="3">
        <v>10.09</v>
      </c>
      <c r="E20" s="1">
        <v>48.0</v>
      </c>
      <c r="F20" s="1" t="s">
        <v>27</v>
      </c>
      <c r="G20" s="1" t="s">
        <v>13</v>
      </c>
      <c r="H20" s="1" t="s">
        <v>14</v>
      </c>
      <c r="I20" s="2">
        <v>4129.0</v>
      </c>
      <c r="J20" s="2">
        <v>6319.0</v>
      </c>
      <c r="K20" s="5">
        <f t="shared" si="1"/>
        <v>4</v>
      </c>
    </row>
    <row r="21">
      <c r="A21" s="1" t="s">
        <v>41</v>
      </c>
      <c r="B21" s="4">
        <v>45789.0</v>
      </c>
      <c r="C21" s="2">
        <v>571910.0</v>
      </c>
      <c r="D21" s="3">
        <v>14.97</v>
      </c>
      <c r="E21" s="1">
        <v>48.0</v>
      </c>
      <c r="F21" s="1" t="s">
        <v>16</v>
      </c>
      <c r="G21" s="1" t="s">
        <v>13</v>
      </c>
      <c r="H21" s="1" t="s">
        <v>14</v>
      </c>
      <c r="I21" s="2">
        <v>85614.0</v>
      </c>
      <c r="J21" s="2">
        <v>6214.0</v>
      </c>
      <c r="K21" s="5">
        <f t="shared" si="1"/>
        <v>5</v>
      </c>
    </row>
    <row r="22">
      <c r="A22" s="1" t="s">
        <v>42</v>
      </c>
      <c r="B22" s="4">
        <v>45645.0</v>
      </c>
      <c r="C22" s="2">
        <v>1023580.0</v>
      </c>
      <c r="D22" s="3">
        <v>9.8</v>
      </c>
      <c r="E22" s="1">
        <v>48.0</v>
      </c>
      <c r="F22" s="1" t="s">
        <v>19</v>
      </c>
      <c r="G22" s="1" t="s">
        <v>35</v>
      </c>
      <c r="H22" s="1" t="s">
        <v>14</v>
      </c>
      <c r="I22" s="2">
        <v>142107.0</v>
      </c>
      <c r="J22" s="2">
        <v>15153.0</v>
      </c>
      <c r="K22" s="5">
        <f t="shared" si="1"/>
        <v>12</v>
      </c>
    </row>
    <row r="23">
      <c r="A23" s="1" t="s">
        <v>43</v>
      </c>
      <c r="B23" s="4">
        <v>45858.0</v>
      </c>
      <c r="C23" s="2">
        <v>2564357.0</v>
      </c>
      <c r="D23" s="3">
        <v>10.97</v>
      </c>
      <c r="E23" s="1">
        <v>36.0</v>
      </c>
      <c r="F23" s="1" t="s">
        <v>12</v>
      </c>
      <c r="G23" s="1" t="s">
        <v>22</v>
      </c>
      <c r="H23" s="1" t="s">
        <v>14</v>
      </c>
      <c r="I23" s="2">
        <v>234424.0</v>
      </c>
      <c r="J23" s="2">
        <v>46764.0</v>
      </c>
      <c r="K23" s="5">
        <f t="shared" si="1"/>
        <v>7</v>
      </c>
    </row>
    <row r="24">
      <c r="A24" s="1" t="s">
        <v>44</v>
      </c>
      <c r="B24" s="4">
        <v>46022.0</v>
      </c>
      <c r="C24" s="2">
        <v>2105496.0</v>
      </c>
      <c r="D24" s="3">
        <v>18.22</v>
      </c>
      <c r="E24" s="1">
        <v>48.0</v>
      </c>
      <c r="F24" s="1" t="s">
        <v>19</v>
      </c>
      <c r="G24" s="1" t="s">
        <v>17</v>
      </c>
      <c r="H24" s="1" t="s">
        <v>14</v>
      </c>
      <c r="I24" s="2">
        <v>127873.0</v>
      </c>
      <c r="J24" s="2">
        <v>34584.0</v>
      </c>
      <c r="K24" s="5">
        <f t="shared" si="1"/>
        <v>12</v>
      </c>
    </row>
    <row r="25">
      <c r="A25" s="1" t="s">
        <v>45</v>
      </c>
      <c r="B25" s="4">
        <v>45742.0</v>
      </c>
      <c r="C25" s="2">
        <v>128480.0</v>
      </c>
      <c r="D25" s="3">
        <v>10.1</v>
      </c>
      <c r="E25" s="1">
        <v>12.0</v>
      </c>
      <c r="F25" s="1" t="s">
        <v>19</v>
      </c>
      <c r="G25" s="1" t="s">
        <v>22</v>
      </c>
      <c r="H25" s="1" t="s">
        <v>14</v>
      </c>
      <c r="I25" s="2">
        <v>12976.0</v>
      </c>
      <c r="J25" s="2">
        <v>2181.0</v>
      </c>
      <c r="K25" s="5">
        <f t="shared" si="1"/>
        <v>3</v>
      </c>
    </row>
    <row r="26">
      <c r="A26" s="1" t="s">
        <v>46</v>
      </c>
      <c r="B26" s="4">
        <v>45877.0</v>
      </c>
      <c r="C26" s="2">
        <v>2629167.0</v>
      </c>
      <c r="D26" s="3">
        <v>9.73</v>
      </c>
      <c r="E26" s="1">
        <v>12.0</v>
      </c>
      <c r="F26" s="1" t="s">
        <v>27</v>
      </c>
      <c r="G26" s="1" t="s">
        <v>22</v>
      </c>
      <c r="H26" s="1" t="s">
        <v>14</v>
      </c>
      <c r="I26" s="2">
        <v>191863.0</v>
      </c>
      <c r="J26" s="2">
        <v>42905.0</v>
      </c>
      <c r="K26" s="5">
        <f t="shared" si="1"/>
        <v>8</v>
      </c>
    </row>
    <row r="27">
      <c r="A27" s="1" t="s">
        <v>47</v>
      </c>
      <c r="B27" s="4">
        <v>46042.0</v>
      </c>
      <c r="C27" s="2">
        <v>2798898.0</v>
      </c>
      <c r="D27" s="3">
        <v>13.64</v>
      </c>
      <c r="E27" s="1">
        <v>60.0</v>
      </c>
      <c r="F27" s="1" t="s">
        <v>27</v>
      </c>
      <c r="G27" s="1" t="s">
        <v>13</v>
      </c>
      <c r="H27" s="1" t="s">
        <v>14</v>
      </c>
      <c r="I27" s="2">
        <v>95442.0</v>
      </c>
      <c r="J27" s="2">
        <v>46122.0</v>
      </c>
      <c r="K27" s="5">
        <f t="shared" si="1"/>
        <v>1</v>
      </c>
    </row>
    <row r="28">
      <c r="A28" s="1" t="s">
        <v>48</v>
      </c>
      <c r="B28" s="4">
        <v>46070.0</v>
      </c>
      <c r="C28" s="2">
        <v>1264212.0</v>
      </c>
      <c r="D28" s="3">
        <v>15.17</v>
      </c>
      <c r="E28" s="1">
        <v>36.0</v>
      </c>
      <c r="F28" s="1" t="s">
        <v>16</v>
      </c>
      <c r="G28" s="1" t="s">
        <v>20</v>
      </c>
      <c r="H28" s="1" t="s">
        <v>14</v>
      </c>
      <c r="I28" s="2">
        <v>47945.0</v>
      </c>
      <c r="J28" s="2">
        <v>23778.0</v>
      </c>
      <c r="K28" s="5">
        <f t="shared" si="1"/>
        <v>2</v>
      </c>
    </row>
    <row r="29">
      <c r="A29" s="1" t="s">
        <v>49</v>
      </c>
      <c r="B29" s="4">
        <v>45676.0</v>
      </c>
      <c r="C29" s="2">
        <v>1553238.0</v>
      </c>
      <c r="D29" s="3">
        <v>14.21</v>
      </c>
      <c r="E29" s="1">
        <v>24.0</v>
      </c>
      <c r="F29" s="1" t="s">
        <v>27</v>
      </c>
      <c r="G29" s="1" t="s">
        <v>22</v>
      </c>
      <c r="H29" s="1" t="s">
        <v>14</v>
      </c>
      <c r="I29" s="2">
        <v>294286.0</v>
      </c>
      <c r="J29" s="2">
        <v>20065.0</v>
      </c>
      <c r="K29" s="5">
        <f t="shared" si="1"/>
        <v>1</v>
      </c>
    </row>
    <row r="30">
      <c r="A30" s="1" t="s">
        <v>50</v>
      </c>
      <c r="B30" s="4">
        <v>45953.0</v>
      </c>
      <c r="C30" s="2">
        <v>1465332.0</v>
      </c>
      <c r="D30" s="3">
        <v>10.85</v>
      </c>
      <c r="E30" s="1">
        <v>36.0</v>
      </c>
      <c r="F30" s="1" t="s">
        <v>19</v>
      </c>
      <c r="G30" s="1" t="s">
        <v>35</v>
      </c>
      <c r="H30" s="1" t="s">
        <v>14</v>
      </c>
      <c r="I30" s="2">
        <v>79494.0</v>
      </c>
      <c r="J30" s="2">
        <v>15919.0</v>
      </c>
      <c r="K30" s="5">
        <f t="shared" si="1"/>
        <v>10</v>
      </c>
    </row>
    <row r="31">
      <c r="A31" s="1" t="s">
        <v>51</v>
      </c>
      <c r="B31" s="4">
        <v>45929.0</v>
      </c>
      <c r="C31" s="2">
        <v>2694907.0</v>
      </c>
      <c r="D31" s="3">
        <v>17.11</v>
      </c>
      <c r="E31" s="1">
        <v>12.0</v>
      </c>
      <c r="F31" s="1" t="s">
        <v>27</v>
      </c>
      <c r="G31" s="1" t="s">
        <v>20</v>
      </c>
      <c r="H31" s="1" t="s">
        <v>14</v>
      </c>
      <c r="I31" s="2">
        <v>268974.0</v>
      </c>
      <c r="J31" s="2">
        <v>46733.0</v>
      </c>
      <c r="K31" s="5">
        <f t="shared" si="1"/>
        <v>9</v>
      </c>
    </row>
    <row r="32">
      <c r="A32" s="1" t="s">
        <v>52</v>
      </c>
      <c r="B32" s="4">
        <v>45770.0</v>
      </c>
      <c r="C32" s="2">
        <v>1326225.0</v>
      </c>
      <c r="D32" s="3">
        <v>12.52</v>
      </c>
      <c r="E32" s="1">
        <v>60.0</v>
      </c>
      <c r="F32" s="1" t="s">
        <v>19</v>
      </c>
      <c r="G32" s="1" t="s">
        <v>17</v>
      </c>
      <c r="H32" s="1" t="s">
        <v>14</v>
      </c>
      <c r="I32" s="2">
        <v>179880.0</v>
      </c>
      <c r="J32" s="2">
        <v>26239.0</v>
      </c>
      <c r="K32" s="5">
        <f t="shared" si="1"/>
        <v>4</v>
      </c>
    </row>
    <row r="33">
      <c r="A33" s="1" t="s">
        <v>53</v>
      </c>
      <c r="B33" s="4">
        <v>46040.0</v>
      </c>
      <c r="C33" s="2">
        <v>344012.0</v>
      </c>
      <c r="D33" s="3">
        <v>9.73</v>
      </c>
      <c r="E33" s="1">
        <v>48.0</v>
      </c>
      <c r="F33" s="1" t="s">
        <v>16</v>
      </c>
      <c r="G33" s="1" t="s">
        <v>20</v>
      </c>
      <c r="H33" s="1" t="s">
        <v>54</v>
      </c>
      <c r="I33" s="2">
        <v>11157.0</v>
      </c>
      <c r="J33" s="2">
        <v>6020.0</v>
      </c>
      <c r="K33" s="5">
        <f t="shared" si="1"/>
        <v>1</v>
      </c>
    </row>
    <row r="34">
      <c r="A34" s="1" t="s">
        <v>55</v>
      </c>
      <c r="B34" s="4">
        <v>45771.0</v>
      </c>
      <c r="C34" s="2">
        <v>477061.0</v>
      </c>
      <c r="D34" s="3">
        <v>10.25</v>
      </c>
      <c r="E34" s="1">
        <v>60.0</v>
      </c>
      <c r="F34" s="1" t="s">
        <v>19</v>
      </c>
      <c r="G34" s="1" t="s">
        <v>13</v>
      </c>
      <c r="H34" s="1" t="s">
        <v>14</v>
      </c>
      <c r="I34" s="2">
        <v>52973.0</v>
      </c>
      <c r="J34" s="2">
        <v>7560.0</v>
      </c>
      <c r="K34" s="5">
        <f t="shared" si="1"/>
        <v>4</v>
      </c>
    </row>
    <row r="35">
      <c r="A35" s="1" t="s">
        <v>56</v>
      </c>
      <c r="B35" s="4">
        <v>45711.0</v>
      </c>
      <c r="C35" s="2">
        <v>1940266.0</v>
      </c>
      <c r="D35" s="3">
        <v>17.72</v>
      </c>
      <c r="E35" s="1">
        <v>12.0</v>
      </c>
      <c r="F35" s="1" t="s">
        <v>19</v>
      </c>
      <c r="G35" s="1" t="s">
        <v>35</v>
      </c>
      <c r="H35" s="1" t="s">
        <v>25</v>
      </c>
      <c r="I35" s="2">
        <v>343815.0</v>
      </c>
      <c r="J35" s="2">
        <v>25582.0</v>
      </c>
      <c r="K35" s="5">
        <f t="shared" si="1"/>
        <v>2</v>
      </c>
    </row>
    <row r="36">
      <c r="A36" s="1" t="s">
        <v>57</v>
      </c>
      <c r="B36" s="4">
        <v>45933.0</v>
      </c>
      <c r="C36" s="2">
        <v>2602076.0</v>
      </c>
      <c r="D36" s="3">
        <v>12.21</v>
      </c>
      <c r="E36" s="1">
        <v>12.0</v>
      </c>
      <c r="F36" s="1" t="s">
        <v>19</v>
      </c>
      <c r="G36" s="1" t="s">
        <v>17</v>
      </c>
      <c r="H36" s="1" t="s">
        <v>25</v>
      </c>
      <c r="I36" s="2">
        <v>185332.0</v>
      </c>
      <c r="J36" s="2">
        <v>39414.0</v>
      </c>
      <c r="K36" s="5">
        <f t="shared" si="1"/>
        <v>10</v>
      </c>
    </row>
    <row r="37">
      <c r="A37" s="1" t="s">
        <v>58</v>
      </c>
      <c r="B37" s="4">
        <v>45929.0</v>
      </c>
      <c r="C37" s="2">
        <v>374006.0</v>
      </c>
      <c r="D37" s="3">
        <v>16.79</v>
      </c>
      <c r="E37" s="1">
        <v>24.0</v>
      </c>
      <c r="F37" s="1" t="s">
        <v>16</v>
      </c>
      <c r="G37" s="1" t="s">
        <v>35</v>
      </c>
      <c r="H37" s="1" t="s">
        <v>14</v>
      </c>
      <c r="I37" s="2">
        <v>36630.0</v>
      </c>
      <c r="J37" s="2">
        <v>3817.0</v>
      </c>
      <c r="K37" s="5">
        <f t="shared" si="1"/>
        <v>9</v>
      </c>
    </row>
    <row r="38">
      <c r="A38" s="1" t="s">
        <v>59</v>
      </c>
      <c r="B38" s="4">
        <v>46110.0</v>
      </c>
      <c r="C38" s="2">
        <v>351134.0</v>
      </c>
      <c r="D38" s="3">
        <v>18.49</v>
      </c>
      <c r="E38" s="1">
        <v>48.0</v>
      </c>
      <c r="F38" s="1" t="s">
        <v>12</v>
      </c>
      <c r="G38" s="1" t="s">
        <v>20</v>
      </c>
      <c r="H38" s="1" t="s">
        <v>14</v>
      </c>
      <c r="I38" s="2">
        <v>5410.0</v>
      </c>
      <c r="J38" s="2">
        <v>3526.0</v>
      </c>
      <c r="K38" s="5">
        <f t="shared" si="1"/>
        <v>3</v>
      </c>
    </row>
    <row r="39">
      <c r="A39" s="1" t="s">
        <v>60</v>
      </c>
      <c r="B39" s="4">
        <v>46033.0</v>
      </c>
      <c r="C39" s="2">
        <v>572268.0</v>
      </c>
      <c r="D39" s="3">
        <v>13.79</v>
      </c>
      <c r="E39" s="1">
        <v>48.0</v>
      </c>
      <c r="F39" s="1" t="s">
        <v>19</v>
      </c>
      <c r="G39" s="1" t="s">
        <v>20</v>
      </c>
      <c r="H39" s="1" t="s">
        <v>14</v>
      </c>
      <c r="I39" s="2">
        <v>26305.0</v>
      </c>
      <c r="J39" s="2">
        <v>7083.0</v>
      </c>
      <c r="K39" s="5">
        <f t="shared" si="1"/>
        <v>1</v>
      </c>
    </row>
    <row r="40">
      <c r="A40" s="1" t="s">
        <v>61</v>
      </c>
      <c r="B40" s="4">
        <v>45826.0</v>
      </c>
      <c r="C40" s="2">
        <v>1548877.0</v>
      </c>
      <c r="D40" s="3">
        <v>14.75</v>
      </c>
      <c r="E40" s="1">
        <v>48.0</v>
      </c>
      <c r="F40" s="1" t="s">
        <v>19</v>
      </c>
      <c r="G40" s="1" t="s">
        <v>17</v>
      </c>
      <c r="H40" s="1" t="s">
        <v>14</v>
      </c>
      <c r="I40" s="2">
        <v>209421.0</v>
      </c>
      <c r="J40" s="2">
        <v>24678.0</v>
      </c>
      <c r="K40" s="5">
        <f t="shared" si="1"/>
        <v>6</v>
      </c>
    </row>
    <row r="41">
      <c r="A41" s="1" t="s">
        <v>62</v>
      </c>
      <c r="B41" s="4">
        <v>46095.0</v>
      </c>
      <c r="C41" s="2">
        <v>2330211.0</v>
      </c>
      <c r="D41" s="3">
        <v>9.38</v>
      </c>
      <c r="E41" s="1">
        <v>60.0</v>
      </c>
      <c r="F41" s="1" t="s">
        <v>12</v>
      </c>
      <c r="G41" s="1" t="s">
        <v>13</v>
      </c>
      <c r="H41" s="1" t="s">
        <v>14</v>
      </c>
      <c r="I41" s="2">
        <v>36428.0</v>
      </c>
      <c r="J41" s="2">
        <v>45169.0</v>
      </c>
      <c r="K41" s="5">
        <f t="shared" si="1"/>
        <v>3</v>
      </c>
    </row>
    <row r="42">
      <c r="A42" s="1" t="s">
        <v>63</v>
      </c>
      <c r="B42" s="4">
        <v>46115.0</v>
      </c>
      <c r="C42" s="2">
        <v>1068249.0</v>
      </c>
      <c r="D42" s="3">
        <v>11.22</v>
      </c>
      <c r="E42" s="1">
        <v>12.0</v>
      </c>
      <c r="F42" s="1" t="s">
        <v>19</v>
      </c>
      <c r="G42" s="1" t="s">
        <v>35</v>
      </c>
      <c r="H42" s="1" t="s">
        <v>14</v>
      </c>
      <c r="I42" s="2">
        <v>9988.0</v>
      </c>
      <c r="J42" s="2">
        <v>14256.0</v>
      </c>
      <c r="K42" s="5">
        <f t="shared" si="1"/>
        <v>4</v>
      </c>
    </row>
    <row r="43">
      <c r="A43" s="1" t="s">
        <v>64</v>
      </c>
      <c r="B43" s="4">
        <v>45967.0</v>
      </c>
      <c r="C43" s="2">
        <v>576415.0</v>
      </c>
      <c r="D43" s="3">
        <v>16.61</v>
      </c>
      <c r="E43" s="1">
        <v>12.0</v>
      </c>
      <c r="F43" s="1" t="s">
        <v>16</v>
      </c>
      <c r="G43" s="1" t="s">
        <v>20</v>
      </c>
      <c r="H43" s="1" t="s">
        <v>14</v>
      </c>
      <c r="I43" s="2">
        <v>47871.0</v>
      </c>
      <c r="J43" s="2">
        <v>7551.0</v>
      </c>
      <c r="K43" s="5">
        <f t="shared" si="1"/>
        <v>11</v>
      </c>
    </row>
    <row r="44">
      <c r="A44" s="1" t="s">
        <v>65</v>
      </c>
      <c r="B44" s="4">
        <v>45941.0</v>
      </c>
      <c r="C44" s="2">
        <v>1478504.0</v>
      </c>
      <c r="D44" s="3">
        <v>14.13</v>
      </c>
      <c r="E44" s="1">
        <v>60.0</v>
      </c>
      <c r="F44" s="1" t="s">
        <v>12</v>
      </c>
      <c r="G44" s="1" t="s">
        <v>17</v>
      </c>
      <c r="H44" s="1" t="s">
        <v>14</v>
      </c>
      <c r="I44" s="2">
        <v>121865.0</v>
      </c>
      <c r="J44" s="2">
        <v>23298.0</v>
      </c>
      <c r="K44" s="5">
        <f t="shared" si="1"/>
        <v>10</v>
      </c>
    </row>
    <row r="45">
      <c r="A45" s="1" t="s">
        <v>66</v>
      </c>
      <c r="B45" s="4">
        <v>45683.0</v>
      </c>
      <c r="C45" s="2">
        <v>51669.0</v>
      </c>
      <c r="D45" s="3">
        <v>14.34</v>
      </c>
      <c r="E45" s="1">
        <v>12.0</v>
      </c>
      <c r="F45" s="1" t="s">
        <v>19</v>
      </c>
      <c r="G45" s="1" t="s">
        <v>13</v>
      </c>
      <c r="H45" s="1" t="s">
        <v>14</v>
      </c>
      <c r="I45" s="2">
        <v>7409.0</v>
      </c>
      <c r="J45" s="2">
        <v>836.0</v>
      </c>
      <c r="K45" s="5">
        <f t="shared" si="1"/>
        <v>1</v>
      </c>
    </row>
    <row r="46">
      <c r="A46" s="1" t="s">
        <v>67</v>
      </c>
      <c r="B46" s="4">
        <v>45987.0</v>
      </c>
      <c r="C46" s="2">
        <v>1909849.0</v>
      </c>
      <c r="D46" s="3">
        <v>16.55</v>
      </c>
      <c r="E46" s="1">
        <v>48.0</v>
      </c>
      <c r="F46" s="1" t="s">
        <v>19</v>
      </c>
      <c r="G46" s="1" t="s">
        <v>20</v>
      </c>
      <c r="H46" s="1" t="s">
        <v>14</v>
      </c>
      <c r="I46" s="2">
        <v>131700.0</v>
      </c>
      <c r="J46" s="2">
        <v>21296.0</v>
      </c>
      <c r="K46" s="5">
        <f t="shared" si="1"/>
        <v>11</v>
      </c>
    </row>
    <row r="47">
      <c r="A47" s="1" t="s">
        <v>68</v>
      </c>
      <c r="B47" s="4">
        <v>45782.0</v>
      </c>
      <c r="C47" s="2">
        <v>2165488.0</v>
      </c>
      <c r="D47" s="3">
        <v>15.25</v>
      </c>
      <c r="E47" s="1">
        <v>60.0</v>
      </c>
      <c r="F47" s="1" t="s">
        <v>27</v>
      </c>
      <c r="G47" s="1" t="s">
        <v>35</v>
      </c>
      <c r="H47" s="1" t="s">
        <v>14</v>
      </c>
      <c r="I47" s="2">
        <v>330236.0</v>
      </c>
      <c r="J47" s="2">
        <v>39103.0</v>
      </c>
      <c r="K47" s="5">
        <f t="shared" si="1"/>
        <v>5</v>
      </c>
    </row>
    <row r="48">
      <c r="A48" s="1" t="s">
        <v>69</v>
      </c>
      <c r="B48" s="4">
        <v>45751.0</v>
      </c>
      <c r="C48" s="2">
        <v>2079821.0</v>
      </c>
      <c r="D48" s="3">
        <v>11.13</v>
      </c>
      <c r="E48" s="1">
        <v>24.0</v>
      </c>
      <c r="F48" s="1" t="s">
        <v>16</v>
      </c>
      <c r="G48" s="1" t="s">
        <v>22</v>
      </c>
      <c r="H48" s="1" t="s">
        <v>25</v>
      </c>
      <c r="I48" s="2">
        <v>250774.0</v>
      </c>
      <c r="J48" s="2">
        <v>31030.0</v>
      </c>
      <c r="K48" s="5">
        <f t="shared" si="1"/>
        <v>4</v>
      </c>
    </row>
    <row r="49">
      <c r="A49" s="1" t="s">
        <v>70</v>
      </c>
      <c r="B49" s="4">
        <v>45832.0</v>
      </c>
      <c r="C49" s="2">
        <v>162360.0</v>
      </c>
      <c r="D49" s="3">
        <v>16.48</v>
      </c>
      <c r="E49" s="1">
        <v>48.0</v>
      </c>
      <c r="F49" s="1" t="s">
        <v>12</v>
      </c>
      <c r="G49" s="1" t="s">
        <v>13</v>
      </c>
      <c r="H49" s="1" t="s">
        <v>14</v>
      </c>
      <c r="I49" s="2">
        <v>22297.0</v>
      </c>
      <c r="J49" s="2">
        <v>2929.0</v>
      </c>
      <c r="K49" s="5">
        <f t="shared" si="1"/>
        <v>6</v>
      </c>
    </row>
    <row r="50">
      <c r="A50" s="1" t="s">
        <v>71</v>
      </c>
      <c r="B50" s="4">
        <v>45977.0</v>
      </c>
      <c r="C50" s="2">
        <v>1030833.0</v>
      </c>
      <c r="D50" s="3">
        <v>16.8</v>
      </c>
      <c r="E50" s="1">
        <v>12.0</v>
      </c>
      <c r="F50" s="1" t="s">
        <v>19</v>
      </c>
      <c r="G50" s="1" t="s">
        <v>13</v>
      </c>
      <c r="H50" s="1" t="s">
        <v>14</v>
      </c>
      <c r="I50" s="2">
        <v>86589.0</v>
      </c>
      <c r="J50" s="2">
        <v>12846.0</v>
      </c>
      <c r="K50" s="5">
        <f t="shared" si="1"/>
        <v>11</v>
      </c>
    </row>
    <row r="51">
      <c r="A51" s="1" t="s">
        <v>72</v>
      </c>
      <c r="B51" s="4">
        <v>45941.0</v>
      </c>
      <c r="C51" s="2">
        <v>1690623.0</v>
      </c>
      <c r="D51" s="3">
        <v>14.04</v>
      </c>
      <c r="E51" s="1">
        <v>36.0</v>
      </c>
      <c r="F51" s="1" t="s">
        <v>19</v>
      </c>
      <c r="G51" s="1" t="s">
        <v>35</v>
      </c>
      <c r="H51" s="1" t="s">
        <v>14</v>
      </c>
      <c r="I51" s="2">
        <v>138462.0</v>
      </c>
      <c r="J51" s="2">
        <v>20006.0</v>
      </c>
      <c r="K51" s="5">
        <f t="shared" si="1"/>
        <v>10</v>
      </c>
    </row>
    <row r="52">
      <c r="A52" s="1" t="s">
        <v>73</v>
      </c>
      <c r="B52" s="4">
        <v>45878.0</v>
      </c>
      <c r="C52" s="2">
        <v>828043.0</v>
      </c>
      <c r="D52" s="3">
        <v>13.31</v>
      </c>
      <c r="E52" s="1">
        <v>24.0</v>
      </c>
      <c r="F52" s="1" t="s">
        <v>19</v>
      </c>
      <c r="G52" s="1" t="s">
        <v>22</v>
      </c>
      <c r="H52" s="1" t="s">
        <v>14</v>
      </c>
      <c r="I52" s="2">
        <v>82659.0</v>
      </c>
      <c r="J52" s="2">
        <v>9574.0</v>
      </c>
      <c r="K52" s="5">
        <f t="shared" si="1"/>
        <v>8</v>
      </c>
    </row>
    <row r="53">
      <c r="A53" s="1" t="s">
        <v>74</v>
      </c>
      <c r="B53" s="4">
        <v>45744.0</v>
      </c>
      <c r="C53" s="2">
        <v>2438075.0</v>
      </c>
      <c r="D53" s="3">
        <v>17.6</v>
      </c>
      <c r="E53" s="1">
        <v>12.0</v>
      </c>
      <c r="F53" s="1" t="s">
        <v>12</v>
      </c>
      <c r="G53" s="1" t="s">
        <v>35</v>
      </c>
      <c r="H53" s="1" t="s">
        <v>14</v>
      </c>
      <c r="I53" s="2">
        <v>429101.0</v>
      </c>
      <c r="J53" s="2">
        <v>47290.0</v>
      </c>
      <c r="K53" s="5">
        <f t="shared" si="1"/>
        <v>3</v>
      </c>
    </row>
    <row r="54">
      <c r="A54" s="1" t="s">
        <v>75</v>
      </c>
      <c r="B54" s="4">
        <v>46021.0</v>
      </c>
      <c r="C54" s="2">
        <v>830203.0</v>
      </c>
      <c r="D54" s="3">
        <v>16.06</v>
      </c>
      <c r="E54" s="1">
        <v>36.0</v>
      </c>
      <c r="F54" s="1" t="s">
        <v>19</v>
      </c>
      <c r="G54" s="1" t="s">
        <v>20</v>
      </c>
      <c r="H54" s="1" t="s">
        <v>14</v>
      </c>
      <c r="I54" s="2">
        <v>44443.0</v>
      </c>
      <c r="J54" s="2">
        <v>9274.0</v>
      </c>
      <c r="K54" s="5">
        <f t="shared" si="1"/>
        <v>12</v>
      </c>
    </row>
    <row r="55">
      <c r="A55" s="1" t="s">
        <v>76</v>
      </c>
      <c r="B55" s="4">
        <v>46071.0</v>
      </c>
      <c r="C55" s="2">
        <v>2265555.0</v>
      </c>
      <c r="D55" s="3">
        <v>16.65</v>
      </c>
      <c r="E55" s="1">
        <v>48.0</v>
      </c>
      <c r="F55" s="1" t="s">
        <v>12</v>
      </c>
      <c r="G55" s="1" t="s">
        <v>13</v>
      </c>
      <c r="H55" s="1" t="s">
        <v>14</v>
      </c>
      <c r="I55" s="2">
        <v>94303.0</v>
      </c>
      <c r="J55" s="2">
        <v>44997.0</v>
      </c>
      <c r="K55" s="5">
        <f t="shared" si="1"/>
        <v>2</v>
      </c>
    </row>
    <row r="56">
      <c r="A56" s="1" t="s">
        <v>77</v>
      </c>
      <c r="B56" s="4">
        <v>45650.0</v>
      </c>
      <c r="C56" s="2">
        <v>984526.0</v>
      </c>
      <c r="D56" s="3">
        <v>9.94</v>
      </c>
      <c r="E56" s="1">
        <v>12.0</v>
      </c>
      <c r="F56" s="1" t="s">
        <v>27</v>
      </c>
      <c r="G56" s="1" t="s">
        <v>17</v>
      </c>
      <c r="H56" s="1" t="s">
        <v>54</v>
      </c>
      <c r="I56" s="2">
        <v>97861.0</v>
      </c>
      <c r="J56" s="2">
        <v>14147.0</v>
      </c>
      <c r="K56" s="5">
        <f t="shared" si="1"/>
        <v>12</v>
      </c>
    </row>
    <row r="57">
      <c r="A57" s="1" t="s">
        <v>78</v>
      </c>
      <c r="B57" s="4">
        <v>45938.0</v>
      </c>
      <c r="C57" s="2">
        <v>563819.0</v>
      </c>
      <c r="D57" s="3">
        <v>17.72</v>
      </c>
      <c r="E57" s="1">
        <v>48.0</v>
      </c>
      <c r="F57" s="1" t="s">
        <v>27</v>
      </c>
      <c r="G57" s="1" t="s">
        <v>35</v>
      </c>
      <c r="H57" s="1" t="s">
        <v>14</v>
      </c>
      <c r="I57" s="2">
        <v>58280.0</v>
      </c>
      <c r="J57" s="2">
        <v>10932.0</v>
      </c>
      <c r="K57" s="5">
        <f t="shared" si="1"/>
        <v>10</v>
      </c>
    </row>
    <row r="58">
      <c r="A58" s="1" t="s">
        <v>79</v>
      </c>
      <c r="B58" s="4">
        <v>46074.0</v>
      </c>
      <c r="C58" s="2">
        <v>1835588.0</v>
      </c>
      <c r="D58" s="3">
        <v>18.36</v>
      </c>
      <c r="E58" s="1">
        <v>60.0</v>
      </c>
      <c r="F58" s="1" t="s">
        <v>16</v>
      </c>
      <c r="G58" s="1" t="s">
        <v>17</v>
      </c>
      <c r="H58" s="1" t="s">
        <v>25</v>
      </c>
      <c r="I58" s="2">
        <v>56168.0</v>
      </c>
      <c r="J58" s="2">
        <v>21604.0</v>
      </c>
      <c r="K58" s="5">
        <f t="shared" si="1"/>
        <v>2</v>
      </c>
    </row>
    <row r="59">
      <c r="A59" s="1" t="s">
        <v>80</v>
      </c>
      <c r="B59" s="4">
        <v>46067.0</v>
      </c>
      <c r="C59" s="2">
        <v>2088572.0</v>
      </c>
      <c r="D59" s="3">
        <v>18.08</v>
      </c>
      <c r="E59" s="1">
        <v>60.0</v>
      </c>
      <c r="F59" s="1" t="s">
        <v>19</v>
      </c>
      <c r="G59" s="1" t="s">
        <v>17</v>
      </c>
      <c r="H59" s="1" t="s">
        <v>14</v>
      </c>
      <c r="I59" s="2">
        <v>94403.0</v>
      </c>
      <c r="J59" s="2">
        <v>33999.0</v>
      </c>
      <c r="K59" s="5">
        <f t="shared" si="1"/>
        <v>2</v>
      </c>
    </row>
    <row r="60">
      <c r="A60" s="1" t="s">
        <v>81</v>
      </c>
      <c r="B60" s="4">
        <v>46041.0</v>
      </c>
      <c r="C60" s="2">
        <v>2260412.0</v>
      </c>
      <c r="D60" s="3">
        <v>8.84</v>
      </c>
      <c r="E60" s="1">
        <v>36.0</v>
      </c>
      <c r="F60" s="1" t="s">
        <v>12</v>
      </c>
      <c r="G60" s="1" t="s">
        <v>22</v>
      </c>
      <c r="H60" s="1" t="s">
        <v>14</v>
      </c>
      <c r="I60" s="2">
        <v>66606.0</v>
      </c>
      <c r="J60" s="2">
        <v>44545.0</v>
      </c>
      <c r="K60" s="5">
        <f t="shared" si="1"/>
        <v>1</v>
      </c>
    </row>
    <row r="61">
      <c r="A61" s="1" t="s">
        <v>82</v>
      </c>
      <c r="B61" s="4">
        <v>45953.0</v>
      </c>
      <c r="C61" s="2">
        <v>510993.0</v>
      </c>
      <c r="D61" s="3">
        <v>16.39</v>
      </c>
      <c r="E61" s="1">
        <v>24.0</v>
      </c>
      <c r="F61" s="1" t="s">
        <v>12</v>
      </c>
      <c r="G61" s="1" t="s">
        <v>20</v>
      </c>
      <c r="H61" s="1" t="s">
        <v>14</v>
      </c>
      <c r="I61" s="2">
        <v>41875.0</v>
      </c>
      <c r="J61" s="2">
        <v>5742.0</v>
      </c>
      <c r="K61" s="5">
        <f t="shared" si="1"/>
        <v>10</v>
      </c>
    </row>
    <row r="62">
      <c r="A62" s="1" t="s">
        <v>83</v>
      </c>
      <c r="B62" s="4">
        <v>45694.0</v>
      </c>
      <c r="C62" s="2">
        <v>2678391.0</v>
      </c>
      <c r="D62" s="3">
        <v>10.57</v>
      </c>
      <c r="E62" s="1">
        <v>48.0</v>
      </c>
      <c r="F62" s="1" t="s">
        <v>27</v>
      </c>
      <c r="G62" s="1" t="s">
        <v>22</v>
      </c>
      <c r="H62" s="1" t="s">
        <v>14</v>
      </c>
      <c r="I62" s="2">
        <v>353882.0</v>
      </c>
      <c r="J62" s="2">
        <v>38918.0</v>
      </c>
      <c r="K62" s="5">
        <f t="shared" si="1"/>
        <v>2</v>
      </c>
    </row>
    <row r="63">
      <c r="A63" s="1" t="s">
        <v>84</v>
      </c>
      <c r="B63" s="4">
        <v>45682.0</v>
      </c>
      <c r="C63" s="2">
        <v>2520577.0</v>
      </c>
      <c r="D63" s="3">
        <v>11.51</v>
      </c>
      <c r="E63" s="1">
        <v>60.0</v>
      </c>
      <c r="F63" s="1" t="s">
        <v>16</v>
      </c>
      <c r="G63" s="1" t="s">
        <v>35</v>
      </c>
      <c r="H63" s="1" t="s">
        <v>14</v>
      </c>
      <c r="I63" s="2">
        <v>362648.0</v>
      </c>
      <c r="J63" s="2">
        <v>43577.0</v>
      </c>
      <c r="K63" s="5">
        <f t="shared" si="1"/>
        <v>1</v>
      </c>
    </row>
    <row r="64">
      <c r="A64" s="1" t="s">
        <v>85</v>
      </c>
      <c r="B64" s="4">
        <v>46107.0</v>
      </c>
      <c r="C64" s="2">
        <v>1972024.0</v>
      </c>
      <c r="D64" s="3">
        <v>15.68</v>
      </c>
      <c r="E64" s="1">
        <v>24.0</v>
      </c>
      <c r="F64" s="1" t="s">
        <v>12</v>
      </c>
      <c r="G64" s="1" t="s">
        <v>22</v>
      </c>
      <c r="H64" s="1" t="s">
        <v>14</v>
      </c>
      <c r="I64" s="2">
        <v>25767.0</v>
      </c>
      <c r="J64" s="2">
        <v>24572.0</v>
      </c>
      <c r="K64" s="5">
        <f t="shared" si="1"/>
        <v>3</v>
      </c>
    </row>
    <row r="65">
      <c r="A65" s="1" t="s">
        <v>86</v>
      </c>
      <c r="B65" s="4">
        <v>45762.0</v>
      </c>
      <c r="C65" s="2">
        <v>446680.0</v>
      </c>
      <c r="D65" s="3">
        <v>9.98</v>
      </c>
      <c r="E65" s="1">
        <v>12.0</v>
      </c>
      <c r="F65" s="1" t="s">
        <v>27</v>
      </c>
      <c r="G65" s="1" t="s">
        <v>17</v>
      </c>
      <c r="H65" s="1" t="s">
        <v>14</v>
      </c>
      <c r="I65" s="2">
        <v>44578.0</v>
      </c>
      <c r="J65" s="2">
        <v>5168.0</v>
      </c>
      <c r="K65" s="5">
        <f t="shared" si="1"/>
        <v>4</v>
      </c>
    </row>
    <row r="66">
      <c r="A66" s="1" t="s">
        <v>87</v>
      </c>
      <c r="B66" s="4">
        <v>45864.0</v>
      </c>
      <c r="C66" s="2">
        <v>2215252.0</v>
      </c>
      <c r="D66" s="3">
        <v>14.01</v>
      </c>
      <c r="E66" s="1">
        <v>36.0</v>
      </c>
      <c r="F66" s="1" t="s">
        <v>12</v>
      </c>
      <c r="G66" s="1" t="s">
        <v>35</v>
      </c>
      <c r="H66" s="1" t="s">
        <v>14</v>
      </c>
      <c r="I66" s="2">
        <v>232767.0</v>
      </c>
      <c r="J66" s="2">
        <v>22221.0</v>
      </c>
      <c r="K66" s="5">
        <f t="shared" si="1"/>
        <v>7</v>
      </c>
    </row>
    <row r="67">
      <c r="A67" s="1" t="s">
        <v>88</v>
      </c>
      <c r="B67" s="4">
        <v>46104.0</v>
      </c>
      <c r="C67" s="2">
        <v>2722936.0</v>
      </c>
      <c r="D67" s="3">
        <v>14.1</v>
      </c>
      <c r="E67" s="1">
        <v>24.0</v>
      </c>
      <c r="F67" s="1" t="s">
        <v>12</v>
      </c>
      <c r="G67" s="1" t="s">
        <v>17</v>
      </c>
      <c r="H67" s="1" t="s">
        <v>25</v>
      </c>
      <c r="I67" s="2">
        <v>31994.0</v>
      </c>
      <c r="J67" s="2">
        <v>43711.0</v>
      </c>
      <c r="K67" s="5">
        <f t="shared" si="1"/>
        <v>3</v>
      </c>
    </row>
    <row r="68">
      <c r="A68" s="1" t="s">
        <v>89</v>
      </c>
      <c r="B68" s="4">
        <v>45841.0</v>
      </c>
      <c r="C68" s="2">
        <v>1390577.0</v>
      </c>
      <c r="D68" s="3">
        <v>17.05</v>
      </c>
      <c r="E68" s="1">
        <v>12.0</v>
      </c>
      <c r="F68" s="1" t="s">
        <v>19</v>
      </c>
      <c r="G68" s="1" t="s">
        <v>13</v>
      </c>
      <c r="H68" s="1" t="s">
        <v>14</v>
      </c>
      <c r="I68" s="2">
        <v>197577.0</v>
      </c>
      <c r="J68" s="2">
        <v>14575.0</v>
      </c>
      <c r="K68" s="5">
        <f t="shared" si="1"/>
        <v>7</v>
      </c>
    </row>
    <row r="69">
      <c r="A69" s="1" t="s">
        <v>90</v>
      </c>
      <c r="B69" s="4">
        <v>46110.0</v>
      </c>
      <c r="C69" s="2">
        <v>2564831.0</v>
      </c>
      <c r="D69" s="3">
        <v>11.62</v>
      </c>
      <c r="E69" s="1">
        <v>12.0</v>
      </c>
      <c r="F69" s="1" t="s">
        <v>27</v>
      </c>
      <c r="G69" s="1" t="s">
        <v>22</v>
      </c>
      <c r="H69" s="1" t="s">
        <v>14</v>
      </c>
      <c r="I69" s="2">
        <v>24836.0</v>
      </c>
      <c r="J69" s="2">
        <v>29808.0</v>
      </c>
      <c r="K69" s="5">
        <f t="shared" si="1"/>
        <v>3</v>
      </c>
    </row>
    <row r="70">
      <c r="A70" s="1" t="s">
        <v>91</v>
      </c>
      <c r="B70" s="4">
        <v>45860.0</v>
      </c>
      <c r="C70" s="2">
        <v>1495378.0</v>
      </c>
      <c r="D70" s="3">
        <v>8.79</v>
      </c>
      <c r="E70" s="1">
        <v>12.0</v>
      </c>
      <c r="F70" s="1" t="s">
        <v>19</v>
      </c>
      <c r="G70" s="1" t="s">
        <v>13</v>
      </c>
      <c r="H70" s="1" t="s">
        <v>14</v>
      </c>
      <c r="I70" s="2">
        <v>109536.0</v>
      </c>
      <c r="J70" s="2">
        <v>25724.0</v>
      </c>
      <c r="K70" s="5">
        <f t="shared" si="1"/>
        <v>7</v>
      </c>
    </row>
    <row r="71">
      <c r="A71" s="1" t="s">
        <v>92</v>
      </c>
      <c r="B71" s="4">
        <v>45879.0</v>
      </c>
      <c r="C71" s="2">
        <v>2023647.0</v>
      </c>
      <c r="D71" s="3">
        <v>14.1</v>
      </c>
      <c r="E71" s="1">
        <v>24.0</v>
      </c>
      <c r="F71" s="1" t="s">
        <v>19</v>
      </c>
      <c r="G71" s="1" t="s">
        <v>22</v>
      </c>
      <c r="H71" s="1" t="s">
        <v>14</v>
      </c>
      <c r="I71" s="2">
        <v>214000.0</v>
      </c>
      <c r="J71" s="2">
        <v>28946.0</v>
      </c>
      <c r="K71" s="5">
        <f t="shared" si="1"/>
        <v>8</v>
      </c>
    </row>
    <row r="72">
      <c r="A72" s="1" t="s">
        <v>93</v>
      </c>
      <c r="B72" s="4">
        <v>45942.0</v>
      </c>
      <c r="C72" s="2">
        <v>1778457.0</v>
      </c>
      <c r="D72" s="3">
        <v>9.58</v>
      </c>
      <c r="E72" s="1">
        <v>24.0</v>
      </c>
      <c r="F72" s="1" t="s">
        <v>27</v>
      </c>
      <c r="G72" s="1" t="s">
        <v>13</v>
      </c>
      <c r="H72" s="1" t="s">
        <v>14</v>
      </c>
      <c r="I72" s="2">
        <v>99386.0</v>
      </c>
      <c r="J72" s="2">
        <v>35407.0</v>
      </c>
      <c r="K72" s="5">
        <f t="shared" si="1"/>
        <v>10</v>
      </c>
    </row>
    <row r="73">
      <c r="A73" s="1" t="s">
        <v>94</v>
      </c>
      <c r="B73" s="4">
        <v>45846.0</v>
      </c>
      <c r="C73" s="2">
        <v>886678.0</v>
      </c>
      <c r="D73" s="3">
        <v>11.73</v>
      </c>
      <c r="E73" s="1">
        <v>24.0</v>
      </c>
      <c r="F73" s="1" t="s">
        <v>12</v>
      </c>
      <c r="G73" s="1" t="s">
        <v>22</v>
      </c>
      <c r="H73" s="1" t="s">
        <v>14</v>
      </c>
      <c r="I73" s="2">
        <v>86672.0</v>
      </c>
      <c r="J73" s="2">
        <v>16383.0</v>
      </c>
      <c r="K73" s="5">
        <f t="shared" si="1"/>
        <v>7</v>
      </c>
    </row>
    <row r="74">
      <c r="A74" s="1" t="s">
        <v>95</v>
      </c>
      <c r="B74" s="4">
        <v>45671.0</v>
      </c>
      <c r="C74" s="2">
        <v>722307.0</v>
      </c>
      <c r="D74" s="3">
        <v>10.01</v>
      </c>
      <c r="E74" s="1">
        <v>12.0</v>
      </c>
      <c r="F74" s="1" t="s">
        <v>16</v>
      </c>
      <c r="G74" s="1" t="s">
        <v>20</v>
      </c>
      <c r="H74" s="1" t="s">
        <v>14</v>
      </c>
      <c r="I74" s="2">
        <v>72302.0</v>
      </c>
      <c r="J74" s="2">
        <v>12694.0</v>
      </c>
      <c r="K74" s="5">
        <f t="shared" si="1"/>
        <v>1</v>
      </c>
    </row>
    <row r="75">
      <c r="A75" s="1" t="s">
        <v>96</v>
      </c>
      <c r="B75" s="4">
        <v>45885.0</v>
      </c>
      <c r="C75" s="2">
        <v>2810788.0</v>
      </c>
      <c r="D75" s="3">
        <v>17.57</v>
      </c>
      <c r="E75" s="1">
        <v>48.0</v>
      </c>
      <c r="F75" s="1" t="s">
        <v>27</v>
      </c>
      <c r="G75" s="1" t="s">
        <v>22</v>
      </c>
      <c r="H75" s="1" t="s">
        <v>14</v>
      </c>
      <c r="I75" s="2">
        <v>370391.0</v>
      </c>
      <c r="J75" s="2">
        <v>46841.0</v>
      </c>
      <c r="K75" s="5">
        <f t="shared" si="1"/>
        <v>8</v>
      </c>
    </row>
    <row r="76">
      <c r="A76" s="1" t="s">
        <v>97</v>
      </c>
      <c r="B76" s="4">
        <v>45955.0</v>
      </c>
      <c r="C76" s="2">
        <v>1537429.0</v>
      </c>
      <c r="D76" s="3">
        <v>11.46</v>
      </c>
      <c r="E76" s="1">
        <v>12.0</v>
      </c>
      <c r="F76" s="1" t="s">
        <v>27</v>
      </c>
      <c r="G76" s="1" t="s">
        <v>17</v>
      </c>
      <c r="H76" s="1" t="s">
        <v>14</v>
      </c>
      <c r="I76" s="2">
        <v>88094.0</v>
      </c>
      <c r="J76" s="2">
        <v>24407.0</v>
      </c>
      <c r="K76" s="5">
        <f t="shared" si="1"/>
        <v>10</v>
      </c>
    </row>
    <row r="77">
      <c r="A77" s="1" t="s">
        <v>98</v>
      </c>
      <c r="B77" s="4">
        <v>46056.0</v>
      </c>
      <c r="C77" s="2">
        <v>1722703.0</v>
      </c>
      <c r="D77" s="3">
        <v>9.67</v>
      </c>
      <c r="E77" s="1">
        <v>48.0</v>
      </c>
      <c r="F77" s="1" t="s">
        <v>19</v>
      </c>
      <c r="G77" s="1" t="s">
        <v>17</v>
      </c>
      <c r="H77" s="1" t="s">
        <v>14</v>
      </c>
      <c r="I77" s="2">
        <v>41646.0</v>
      </c>
      <c r="J77" s="2">
        <v>29276.0</v>
      </c>
      <c r="K77" s="5">
        <f t="shared" si="1"/>
        <v>2</v>
      </c>
    </row>
    <row r="78">
      <c r="A78" s="1" t="s">
        <v>99</v>
      </c>
      <c r="B78" s="4">
        <v>46094.0</v>
      </c>
      <c r="C78" s="2">
        <v>571462.0</v>
      </c>
      <c r="D78" s="3">
        <v>16.44</v>
      </c>
      <c r="E78" s="1">
        <v>60.0</v>
      </c>
      <c r="F78" s="1" t="s">
        <v>16</v>
      </c>
      <c r="G78" s="1" t="s">
        <v>13</v>
      </c>
      <c r="H78" s="1" t="s">
        <v>14</v>
      </c>
      <c r="I78" s="2">
        <v>15658.0</v>
      </c>
      <c r="J78" s="2">
        <v>7494.0</v>
      </c>
      <c r="K78" s="5">
        <f t="shared" si="1"/>
        <v>3</v>
      </c>
    </row>
    <row r="79">
      <c r="A79" s="1" t="s">
        <v>100</v>
      </c>
      <c r="B79" s="4">
        <v>45791.0</v>
      </c>
      <c r="C79" s="2">
        <v>335617.0</v>
      </c>
      <c r="D79" s="3">
        <v>10.81</v>
      </c>
      <c r="E79" s="1">
        <v>12.0</v>
      </c>
      <c r="F79" s="1" t="s">
        <v>16</v>
      </c>
      <c r="G79" s="1" t="s">
        <v>17</v>
      </c>
      <c r="H79" s="1" t="s">
        <v>14</v>
      </c>
      <c r="I79" s="2">
        <v>36280.0</v>
      </c>
      <c r="J79" s="2">
        <v>5874.0</v>
      </c>
      <c r="K79" s="5">
        <f t="shared" si="1"/>
        <v>5</v>
      </c>
    </row>
    <row r="80">
      <c r="A80" s="1" t="s">
        <v>101</v>
      </c>
      <c r="B80" s="4">
        <v>45859.0</v>
      </c>
      <c r="C80" s="2">
        <v>2427531.0</v>
      </c>
      <c r="D80" s="3">
        <v>12.83</v>
      </c>
      <c r="E80" s="1">
        <v>48.0</v>
      </c>
      <c r="F80" s="1" t="s">
        <v>12</v>
      </c>
      <c r="G80" s="1" t="s">
        <v>20</v>
      </c>
      <c r="H80" s="1" t="s">
        <v>14</v>
      </c>
      <c r="I80" s="2">
        <v>259543.0</v>
      </c>
      <c r="J80" s="2">
        <v>48465.0</v>
      </c>
      <c r="K80" s="5">
        <f t="shared" si="1"/>
        <v>7</v>
      </c>
    </row>
    <row r="81">
      <c r="A81" s="1" t="s">
        <v>102</v>
      </c>
      <c r="B81" s="4">
        <v>45667.0</v>
      </c>
      <c r="C81" s="2">
        <v>1820021.0</v>
      </c>
      <c r="D81" s="3">
        <v>8.94</v>
      </c>
      <c r="E81" s="1">
        <v>24.0</v>
      </c>
      <c r="F81" s="1" t="s">
        <v>12</v>
      </c>
      <c r="G81" s="1" t="s">
        <v>35</v>
      </c>
      <c r="H81" s="1" t="s">
        <v>14</v>
      </c>
      <c r="I81" s="2">
        <v>216946.0</v>
      </c>
      <c r="J81" s="2">
        <v>24732.0</v>
      </c>
      <c r="K81" s="5">
        <f t="shared" si="1"/>
        <v>1</v>
      </c>
    </row>
    <row r="82">
      <c r="A82" s="1" t="s">
        <v>103</v>
      </c>
      <c r="B82" s="4">
        <v>45859.0</v>
      </c>
      <c r="C82" s="2">
        <v>2665039.0</v>
      </c>
      <c r="D82" s="3">
        <v>13.14</v>
      </c>
      <c r="E82" s="1">
        <v>60.0</v>
      </c>
      <c r="F82" s="1" t="s">
        <v>12</v>
      </c>
      <c r="G82" s="1" t="s">
        <v>20</v>
      </c>
      <c r="H82" s="1" t="s">
        <v>14</v>
      </c>
      <c r="I82" s="2">
        <v>291821.0</v>
      </c>
      <c r="J82" s="2">
        <v>36865.0</v>
      </c>
      <c r="K82" s="5">
        <f t="shared" si="1"/>
        <v>7</v>
      </c>
    </row>
    <row r="83">
      <c r="A83" s="1" t="s">
        <v>104</v>
      </c>
      <c r="B83" s="4">
        <v>45845.0</v>
      </c>
      <c r="C83" s="2">
        <v>2188816.0</v>
      </c>
      <c r="D83" s="3">
        <v>16.24</v>
      </c>
      <c r="E83" s="1">
        <v>24.0</v>
      </c>
      <c r="F83" s="1" t="s">
        <v>27</v>
      </c>
      <c r="G83" s="1" t="s">
        <v>22</v>
      </c>
      <c r="H83" s="1" t="s">
        <v>14</v>
      </c>
      <c r="I83" s="2">
        <v>296219.0</v>
      </c>
      <c r="J83" s="2">
        <v>32049.0</v>
      </c>
      <c r="K83" s="5">
        <f t="shared" si="1"/>
        <v>7</v>
      </c>
    </row>
    <row r="84">
      <c r="A84" s="1" t="s">
        <v>105</v>
      </c>
      <c r="B84" s="4">
        <v>45838.0</v>
      </c>
      <c r="C84" s="2">
        <v>2029236.0</v>
      </c>
      <c r="D84" s="3">
        <v>15.27</v>
      </c>
      <c r="E84" s="1">
        <v>24.0</v>
      </c>
      <c r="F84" s="1" t="s">
        <v>12</v>
      </c>
      <c r="G84" s="1" t="s">
        <v>20</v>
      </c>
      <c r="H84" s="1" t="s">
        <v>14</v>
      </c>
      <c r="I84" s="2">
        <v>258220.0</v>
      </c>
      <c r="J84" s="2">
        <v>25724.0</v>
      </c>
      <c r="K84" s="5">
        <f t="shared" si="1"/>
        <v>6</v>
      </c>
    </row>
    <row r="85">
      <c r="A85" s="1" t="s">
        <v>106</v>
      </c>
      <c r="B85" s="4">
        <v>45875.0</v>
      </c>
      <c r="C85" s="2">
        <v>2959300.0</v>
      </c>
      <c r="D85" s="3">
        <v>17.0</v>
      </c>
      <c r="E85" s="1">
        <v>60.0</v>
      </c>
      <c r="F85" s="1" t="s">
        <v>16</v>
      </c>
      <c r="G85" s="1" t="s">
        <v>17</v>
      </c>
      <c r="H85" s="1" t="s">
        <v>14</v>
      </c>
      <c r="I85" s="2">
        <v>377310.0</v>
      </c>
      <c r="J85" s="2">
        <v>45072.0</v>
      </c>
      <c r="K85" s="5">
        <f t="shared" si="1"/>
        <v>8</v>
      </c>
    </row>
    <row r="86">
      <c r="A86" s="1" t="s">
        <v>107</v>
      </c>
      <c r="B86" s="4">
        <v>45905.0</v>
      </c>
      <c r="C86" s="2">
        <v>1274748.0</v>
      </c>
      <c r="D86" s="3">
        <v>13.25</v>
      </c>
      <c r="E86" s="1">
        <v>48.0</v>
      </c>
      <c r="F86" s="1" t="s">
        <v>16</v>
      </c>
      <c r="G86" s="1" t="s">
        <v>20</v>
      </c>
      <c r="H86" s="1" t="s">
        <v>14</v>
      </c>
      <c r="I86" s="2">
        <v>112602.0</v>
      </c>
      <c r="J86" s="2">
        <v>13350.0</v>
      </c>
      <c r="K86" s="5">
        <f t="shared" si="1"/>
        <v>9</v>
      </c>
    </row>
    <row r="87">
      <c r="A87" s="1" t="s">
        <v>108</v>
      </c>
      <c r="B87" s="4">
        <v>45717.0</v>
      </c>
      <c r="C87" s="2">
        <v>2009625.0</v>
      </c>
      <c r="D87" s="3">
        <v>10.69</v>
      </c>
      <c r="E87" s="1">
        <v>48.0</v>
      </c>
      <c r="F87" s="1" t="s">
        <v>12</v>
      </c>
      <c r="G87" s="1" t="s">
        <v>22</v>
      </c>
      <c r="H87" s="1" t="s">
        <v>14</v>
      </c>
      <c r="I87" s="2">
        <v>250633.0</v>
      </c>
      <c r="J87" s="2">
        <v>23570.0</v>
      </c>
      <c r="K87" s="5">
        <f t="shared" si="1"/>
        <v>3</v>
      </c>
    </row>
    <row r="88">
      <c r="A88" s="1" t="s">
        <v>109</v>
      </c>
      <c r="B88" s="4">
        <v>45903.0</v>
      </c>
      <c r="C88" s="2">
        <v>573596.0</v>
      </c>
      <c r="D88" s="3">
        <v>13.95</v>
      </c>
      <c r="E88" s="1">
        <v>12.0</v>
      </c>
      <c r="F88" s="1" t="s">
        <v>27</v>
      </c>
      <c r="G88" s="1" t="s">
        <v>22</v>
      </c>
      <c r="H88" s="1" t="s">
        <v>25</v>
      </c>
      <c r="I88" s="2">
        <v>53344.0</v>
      </c>
      <c r="J88" s="2">
        <v>10168.0</v>
      </c>
      <c r="K88" s="5">
        <f t="shared" si="1"/>
        <v>9</v>
      </c>
    </row>
    <row r="89">
      <c r="A89" s="1" t="s">
        <v>110</v>
      </c>
      <c r="B89" s="4">
        <v>45998.0</v>
      </c>
      <c r="C89" s="2">
        <v>2836601.0</v>
      </c>
      <c r="D89" s="3">
        <v>16.57</v>
      </c>
      <c r="E89" s="1">
        <v>48.0</v>
      </c>
      <c r="F89" s="1" t="s">
        <v>27</v>
      </c>
      <c r="G89" s="1" t="s">
        <v>35</v>
      </c>
      <c r="H89" s="1" t="s">
        <v>25</v>
      </c>
      <c r="I89" s="2">
        <v>195843.0</v>
      </c>
      <c r="J89" s="2">
        <v>34638.0</v>
      </c>
      <c r="K89" s="5">
        <f t="shared" si="1"/>
        <v>12</v>
      </c>
    </row>
    <row r="90">
      <c r="A90" s="1" t="s">
        <v>111</v>
      </c>
      <c r="B90" s="4">
        <v>45625.0</v>
      </c>
      <c r="C90" s="2">
        <v>936547.0</v>
      </c>
      <c r="D90" s="3">
        <v>11.87</v>
      </c>
      <c r="E90" s="1">
        <v>24.0</v>
      </c>
      <c r="F90" s="1" t="s">
        <v>12</v>
      </c>
      <c r="G90" s="1" t="s">
        <v>35</v>
      </c>
      <c r="H90" s="1" t="s">
        <v>14</v>
      </c>
      <c r="I90" s="2">
        <v>157488.0</v>
      </c>
      <c r="J90" s="2">
        <v>13272.0</v>
      </c>
      <c r="K90" s="5">
        <f t="shared" si="1"/>
        <v>11</v>
      </c>
    </row>
    <row r="91">
      <c r="A91" s="1" t="s">
        <v>112</v>
      </c>
      <c r="B91" s="4">
        <v>45716.0</v>
      </c>
      <c r="C91" s="2">
        <v>2127470.0</v>
      </c>
      <c r="D91" s="3">
        <v>15.48</v>
      </c>
      <c r="E91" s="1">
        <v>12.0</v>
      </c>
      <c r="F91" s="1" t="s">
        <v>19</v>
      </c>
      <c r="G91" s="1" t="s">
        <v>13</v>
      </c>
      <c r="H91" s="1" t="s">
        <v>14</v>
      </c>
      <c r="I91" s="2">
        <v>329332.0</v>
      </c>
      <c r="J91" s="2">
        <v>39230.0</v>
      </c>
      <c r="K91" s="5">
        <f t="shared" si="1"/>
        <v>2</v>
      </c>
    </row>
    <row r="92">
      <c r="A92" s="1" t="s">
        <v>113</v>
      </c>
      <c r="B92" s="4">
        <v>46085.0</v>
      </c>
      <c r="C92" s="2">
        <v>1658754.0</v>
      </c>
      <c r="D92" s="3">
        <v>11.2</v>
      </c>
      <c r="E92" s="1">
        <v>12.0</v>
      </c>
      <c r="F92" s="1" t="s">
        <v>19</v>
      </c>
      <c r="G92" s="1" t="s">
        <v>13</v>
      </c>
      <c r="H92" s="1" t="s">
        <v>14</v>
      </c>
      <c r="I92" s="2">
        <v>30963.0</v>
      </c>
      <c r="J92" s="2">
        <v>23097.0</v>
      </c>
      <c r="K92" s="5">
        <f t="shared" si="1"/>
        <v>3</v>
      </c>
    </row>
    <row r="93">
      <c r="A93" s="1" t="s">
        <v>114</v>
      </c>
      <c r="B93" s="4">
        <v>45953.0</v>
      </c>
      <c r="C93" s="2">
        <v>317697.0</v>
      </c>
      <c r="D93" s="3">
        <v>17.59</v>
      </c>
      <c r="E93" s="1">
        <v>24.0</v>
      </c>
      <c r="F93" s="1" t="s">
        <v>16</v>
      </c>
      <c r="G93" s="1" t="s">
        <v>22</v>
      </c>
      <c r="H93" s="1" t="s">
        <v>14</v>
      </c>
      <c r="I93" s="2">
        <v>27941.0</v>
      </c>
      <c r="J93" s="2">
        <v>4089.0</v>
      </c>
      <c r="K93" s="5">
        <f t="shared" si="1"/>
        <v>10</v>
      </c>
    </row>
    <row r="94">
      <c r="A94" s="1" t="s">
        <v>115</v>
      </c>
      <c r="B94" s="4">
        <v>46091.0</v>
      </c>
      <c r="C94" s="2">
        <v>2862684.0</v>
      </c>
      <c r="D94" s="3">
        <v>9.2</v>
      </c>
      <c r="E94" s="1">
        <v>36.0</v>
      </c>
      <c r="F94" s="1" t="s">
        <v>27</v>
      </c>
      <c r="G94" s="1" t="s">
        <v>17</v>
      </c>
      <c r="H94" s="1" t="s">
        <v>14</v>
      </c>
      <c r="I94" s="2">
        <v>43894.0</v>
      </c>
      <c r="J94" s="2">
        <v>53579.0</v>
      </c>
      <c r="K94" s="5">
        <f t="shared" si="1"/>
        <v>3</v>
      </c>
    </row>
    <row r="95">
      <c r="A95" s="1" t="s">
        <v>116</v>
      </c>
      <c r="B95" s="4">
        <v>45685.0</v>
      </c>
      <c r="C95" s="2">
        <v>165074.0</v>
      </c>
      <c r="D95" s="3">
        <v>13.95</v>
      </c>
      <c r="E95" s="1">
        <v>48.0</v>
      </c>
      <c r="F95" s="1" t="s">
        <v>19</v>
      </c>
      <c r="G95" s="1" t="s">
        <v>13</v>
      </c>
      <c r="H95" s="1" t="s">
        <v>14</v>
      </c>
      <c r="I95" s="2">
        <v>28784.0</v>
      </c>
      <c r="J95" s="2">
        <v>2485.0</v>
      </c>
      <c r="K95" s="5">
        <f t="shared" si="1"/>
        <v>1</v>
      </c>
    </row>
    <row r="96">
      <c r="A96" s="1" t="s">
        <v>117</v>
      </c>
      <c r="B96" s="4">
        <v>45992.0</v>
      </c>
      <c r="C96" s="2">
        <v>966405.0</v>
      </c>
      <c r="D96" s="3">
        <v>18.44</v>
      </c>
      <c r="E96" s="1">
        <v>12.0</v>
      </c>
      <c r="F96" s="1" t="s">
        <v>12</v>
      </c>
      <c r="G96" s="1" t="s">
        <v>35</v>
      </c>
      <c r="H96" s="1" t="s">
        <v>14</v>
      </c>
      <c r="I96" s="2">
        <v>74252.0</v>
      </c>
      <c r="J96" s="2">
        <v>9675.0</v>
      </c>
      <c r="K96" s="5">
        <f t="shared" si="1"/>
        <v>12</v>
      </c>
    </row>
    <row r="97">
      <c r="A97" s="1" t="s">
        <v>118</v>
      </c>
      <c r="B97" s="4">
        <v>45843.0</v>
      </c>
      <c r="C97" s="2">
        <v>1665138.0</v>
      </c>
      <c r="D97" s="3">
        <v>11.29</v>
      </c>
      <c r="E97" s="1">
        <v>36.0</v>
      </c>
      <c r="F97" s="1" t="s">
        <v>12</v>
      </c>
      <c r="G97" s="1" t="s">
        <v>20</v>
      </c>
      <c r="H97" s="1" t="s">
        <v>14</v>
      </c>
      <c r="I97" s="2">
        <v>156661.0</v>
      </c>
      <c r="J97" s="2">
        <v>18183.0</v>
      </c>
      <c r="K97" s="5">
        <f t="shared" si="1"/>
        <v>7</v>
      </c>
    </row>
    <row r="98">
      <c r="A98" s="1" t="s">
        <v>119</v>
      </c>
      <c r="B98" s="4">
        <v>45893.0</v>
      </c>
      <c r="C98" s="2">
        <v>2491453.0</v>
      </c>
      <c r="D98" s="3">
        <v>17.26</v>
      </c>
      <c r="E98" s="1">
        <v>12.0</v>
      </c>
      <c r="F98" s="1" t="s">
        <v>19</v>
      </c>
      <c r="G98" s="1" t="s">
        <v>35</v>
      </c>
      <c r="H98" s="1" t="s">
        <v>14</v>
      </c>
      <c r="I98" s="2">
        <v>286683.0</v>
      </c>
      <c r="J98" s="2">
        <v>45617.0</v>
      </c>
      <c r="K98" s="5">
        <f t="shared" si="1"/>
        <v>8</v>
      </c>
    </row>
    <row r="99">
      <c r="A99" s="1" t="s">
        <v>120</v>
      </c>
      <c r="B99" s="4">
        <v>45823.0</v>
      </c>
      <c r="C99" s="2">
        <v>1779508.0</v>
      </c>
      <c r="D99" s="3">
        <v>11.53</v>
      </c>
      <c r="E99" s="1">
        <v>24.0</v>
      </c>
      <c r="F99" s="1" t="s">
        <v>19</v>
      </c>
      <c r="G99" s="1" t="s">
        <v>35</v>
      </c>
      <c r="H99" s="1" t="s">
        <v>14</v>
      </c>
      <c r="I99" s="2">
        <v>188079.0</v>
      </c>
      <c r="J99" s="2">
        <v>18362.0</v>
      </c>
      <c r="K99" s="5">
        <f t="shared" si="1"/>
        <v>6</v>
      </c>
    </row>
    <row r="100">
      <c r="A100" s="1" t="s">
        <v>121</v>
      </c>
      <c r="B100" s="4">
        <v>46043.0</v>
      </c>
      <c r="C100" s="2">
        <v>2970406.0</v>
      </c>
      <c r="D100" s="3">
        <v>12.41</v>
      </c>
      <c r="E100" s="1">
        <v>36.0</v>
      </c>
      <c r="F100" s="1" t="s">
        <v>27</v>
      </c>
      <c r="G100" s="1" t="s">
        <v>20</v>
      </c>
      <c r="H100" s="1" t="s">
        <v>54</v>
      </c>
      <c r="I100" s="2">
        <v>92156.0</v>
      </c>
      <c r="J100" s="2">
        <v>56714.0</v>
      </c>
      <c r="K100" s="5">
        <f t="shared" si="1"/>
        <v>1</v>
      </c>
    </row>
    <row r="101">
      <c r="A101" s="1" t="s">
        <v>122</v>
      </c>
      <c r="B101" s="4">
        <v>45798.0</v>
      </c>
      <c r="C101" s="2">
        <v>2630979.0</v>
      </c>
      <c r="D101" s="3">
        <v>14.34</v>
      </c>
      <c r="E101" s="1">
        <v>24.0</v>
      </c>
      <c r="F101" s="1" t="s">
        <v>19</v>
      </c>
      <c r="G101" s="1" t="s">
        <v>22</v>
      </c>
      <c r="H101" s="1" t="s">
        <v>25</v>
      </c>
      <c r="I101" s="2">
        <v>377282.0</v>
      </c>
      <c r="J101" s="2">
        <v>41407.0</v>
      </c>
      <c r="K101" s="5">
        <f t="shared" si="1"/>
        <v>5</v>
      </c>
    </row>
    <row r="102">
      <c r="A102" s="1" t="s">
        <v>123</v>
      </c>
      <c r="B102" s="4">
        <v>45785.0</v>
      </c>
      <c r="C102" s="2">
        <v>1485325.0</v>
      </c>
      <c r="D102" s="3">
        <v>12.76</v>
      </c>
      <c r="E102" s="1">
        <v>36.0</v>
      </c>
      <c r="F102" s="1" t="s">
        <v>19</v>
      </c>
      <c r="G102" s="1" t="s">
        <v>13</v>
      </c>
      <c r="H102" s="1" t="s">
        <v>14</v>
      </c>
      <c r="I102" s="2">
        <v>189527.0</v>
      </c>
      <c r="J102" s="2">
        <v>18099.0</v>
      </c>
      <c r="K102" s="5">
        <f t="shared" si="1"/>
        <v>5</v>
      </c>
    </row>
    <row r="103">
      <c r="A103" s="1" t="s">
        <v>124</v>
      </c>
      <c r="B103" s="4">
        <v>45891.0</v>
      </c>
      <c r="C103" s="2">
        <v>2978012.0</v>
      </c>
      <c r="D103" s="3">
        <v>14.95</v>
      </c>
      <c r="E103" s="1">
        <v>12.0</v>
      </c>
      <c r="F103" s="1" t="s">
        <v>19</v>
      </c>
      <c r="G103" s="1" t="s">
        <v>13</v>
      </c>
      <c r="H103" s="1" t="s">
        <v>14</v>
      </c>
      <c r="I103" s="2">
        <v>333909.0</v>
      </c>
      <c r="J103" s="2">
        <v>41478.0</v>
      </c>
      <c r="K103" s="5">
        <f t="shared" si="1"/>
        <v>8</v>
      </c>
    </row>
    <row r="104">
      <c r="A104" s="1" t="s">
        <v>125</v>
      </c>
      <c r="B104" s="4">
        <v>45780.0</v>
      </c>
      <c r="C104" s="2">
        <v>331912.0</v>
      </c>
      <c r="D104" s="3">
        <v>17.41</v>
      </c>
      <c r="E104" s="1">
        <v>24.0</v>
      </c>
      <c r="F104" s="1" t="s">
        <v>27</v>
      </c>
      <c r="G104" s="1" t="s">
        <v>22</v>
      </c>
      <c r="H104" s="1" t="s">
        <v>14</v>
      </c>
      <c r="I104" s="2">
        <v>57785.0</v>
      </c>
      <c r="J104" s="2">
        <v>6250.0</v>
      </c>
      <c r="K104" s="5">
        <f t="shared" si="1"/>
        <v>5</v>
      </c>
    </row>
    <row r="105">
      <c r="A105" s="1" t="s">
        <v>126</v>
      </c>
      <c r="B105" s="4">
        <v>45732.0</v>
      </c>
      <c r="C105" s="2">
        <v>2310986.0</v>
      </c>
      <c r="D105" s="3">
        <v>12.52</v>
      </c>
      <c r="E105" s="1">
        <v>36.0</v>
      </c>
      <c r="F105" s="1" t="s">
        <v>19</v>
      </c>
      <c r="G105" s="1" t="s">
        <v>35</v>
      </c>
      <c r="H105" s="1" t="s">
        <v>14</v>
      </c>
      <c r="I105" s="2">
        <v>337558.0</v>
      </c>
      <c r="J105" s="2">
        <v>45339.0</v>
      </c>
      <c r="K105" s="5">
        <f t="shared" si="1"/>
        <v>3</v>
      </c>
    </row>
    <row r="106">
      <c r="A106" s="1" t="s">
        <v>127</v>
      </c>
      <c r="B106" s="4">
        <v>45895.0</v>
      </c>
      <c r="C106" s="2">
        <v>1270994.0</v>
      </c>
      <c r="D106" s="3">
        <v>9.25</v>
      </c>
      <c r="E106" s="1">
        <v>24.0</v>
      </c>
      <c r="F106" s="1" t="s">
        <v>27</v>
      </c>
      <c r="G106" s="1" t="s">
        <v>35</v>
      </c>
      <c r="H106" s="1" t="s">
        <v>14</v>
      </c>
      <c r="I106" s="2">
        <v>78377.0</v>
      </c>
      <c r="J106" s="2">
        <v>20750.0</v>
      </c>
      <c r="K106" s="5">
        <f t="shared" si="1"/>
        <v>8</v>
      </c>
    </row>
    <row r="107">
      <c r="A107" s="1" t="s">
        <v>128</v>
      </c>
      <c r="B107" s="4">
        <v>46061.0</v>
      </c>
      <c r="C107" s="2">
        <v>2050862.0</v>
      </c>
      <c r="D107" s="3">
        <v>14.57</v>
      </c>
      <c r="E107" s="1">
        <v>12.0</v>
      </c>
      <c r="F107" s="1" t="s">
        <v>27</v>
      </c>
      <c r="G107" s="1" t="s">
        <v>17</v>
      </c>
      <c r="H107" s="1" t="s">
        <v>14</v>
      </c>
      <c r="I107" s="2">
        <v>74702.0</v>
      </c>
      <c r="J107" s="2">
        <v>20937.0</v>
      </c>
      <c r="K107" s="5">
        <f t="shared" si="1"/>
        <v>2</v>
      </c>
    </row>
    <row r="108">
      <c r="A108" s="1" t="s">
        <v>129</v>
      </c>
      <c r="B108" s="4">
        <v>46064.0</v>
      </c>
      <c r="C108" s="2">
        <v>1236455.0</v>
      </c>
      <c r="D108" s="3">
        <v>17.69</v>
      </c>
      <c r="E108" s="1">
        <v>60.0</v>
      </c>
      <c r="F108" s="1" t="s">
        <v>27</v>
      </c>
      <c r="G108" s="1" t="s">
        <v>13</v>
      </c>
      <c r="H108" s="1" t="s">
        <v>14</v>
      </c>
      <c r="I108" s="2">
        <v>54682.0</v>
      </c>
      <c r="J108" s="2">
        <v>20237.0</v>
      </c>
      <c r="K108" s="5">
        <f t="shared" si="1"/>
        <v>2</v>
      </c>
    </row>
    <row r="109">
      <c r="A109" s="1" t="s">
        <v>130</v>
      </c>
      <c r="B109" s="4">
        <v>45684.0</v>
      </c>
      <c r="C109" s="2">
        <v>2400182.0</v>
      </c>
      <c r="D109" s="3">
        <v>10.99</v>
      </c>
      <c r="E109" s="1">
        <v>24.0</v>
      </c>
      <c r="F109" s="1" t="s">
        <v>19</v>
      </c>
      <c r="G109" s="1" t="s">
        <v>17</v>
      </c>
      <c r="H109" s="1" t="s">
        <v>14</v>
      </c>
      <c r="I109" s="2">
        <v>329725.0</v>
      </c>
      <c r="J109" s="2">
        <v>42929.0</v>
      </c>
      <c r="K109" s="5">
        <f t="shared" si="1"/>
        <v>1</v>
      </c>
    </row>
    <row r="110">
      <c r="A110" s="1" t="s">
        <v>131</v>
      </c>
      <c r="B110" s="4">
        <v>45993.0</v>
      </c>
      <c r="C110" s="2">
        <v>2003986.0</v>
      </c>
      <c r="D110" s="3">
        <v>13.2</v>
      </c>
      <c r="E110" s="1">
        <v>60.0</v>
      </c>
      <c r="F110" s="1" t="s">
        <v>12</v>
      </c>
      <c r="G110" s="1" t="s">
        <v>20</v>
      </c>
      <c r="H110" s="1" t="s">
        <v>14</v>
      </c>
      <c r="I110" s="2">
        <v>110219.0</v>
      </c>
      <c r="J110" s="2">
        <v>27696.0</v>
      </c>
      <c r="K110" s="5">
        <f t="shared" si="1"/>
        <v>12</v>
      </c>
    </row>
    <row r="111">
      <c r="A111" s="1" t="s">
        <v>132</v>
      </c>
      <c r="B111" s="4">
        <v>46000.0</v>
      </c>
      <c r="C111" s="2">
        <v>2852757.0</v>
      </c>
      <c r="D111" s="3">
        <v>8.85</v>
      </c>
      <c r="E111" s="1">
        <v>12.0</v>
      </c>
      <c r="F111" s="1" t="s">
        <v>19</v>
      </c>
      <c r="G111" s="1" t="s">
        <v>17</v>
      </c>
      <c r="H111" s="1" t="s">
        <v>14</v>
      </c>
      <c r="I111" s="2">
        <v>105195.0</v>
      </c>
      <c r="J111" s="2">
        <v>31570.0</v>
      </c>
      <c r="K111" s="5">
        <f t="shared" si="1"/>
        <v>12</v>
      </c>
    </row>
    <row r="112">
      <c r="A112" s="1" t="s">
        <v>133</v>
      </c>
      <c r="B112" s="4">
        <v>45664.0</v>
      </c>
      <c r="C112" s="2">
        <v>1285882.0</v>
      </c>
      <c r="D112" s="3">
        <v>14.56</v>
      </c>
      <c r="E112" s="1">
        <v>36.0</v>
      </c>
      <c r="F112" s="1" t="s">
        <v>27</v>
      </c>
      <c r="G112" s="1" t="s">
        <v>13</v>
      </c>
      <c r="H112" s="1" t="s">
        <v>14</v>
      </c>
      <c r="I112" s="2">
        <v>249632.0</v>
      </c>
      <c r="J112" s="2">
        <v>13013.0</v>
      </c>
      <c r="K112" s="5">
        <f t="shared" si="1"/>
        <v>1</v>
      </c>
    </row>
    <row r="113">
      <c r="A113" s="1" t="s">
        <v>134</v>
      </c>
      <c r="B113" s="4">
        <v>45676.0</v>
      </c>
      <c r="C113" s="2">
        <v>2360998.0</v>
      </c>
      <c r="D113" s="3">
        <v>15.75</v>
      </c>
      <c r="E113" s="1">
        <v>12.0</v>
      </c>
      <c r="F113" s="1" t="s">
        <v>16</v>
      </c>
      <c r="G113" s="1" t="s">
        <v>22</v>
      </c>
      <c r="H113" s="1" t="s">
        <v>14</v>
      </c>
      <c r="I113" s="2">
        <v>371857.0</v>
      </c>
      <c r="J113" s="2">
        <v>27925.0</v>
      </c>
      <c r="K113" s="5">
        <f t="shared" si="1"/>
        <v>1</v>
      </c>
    </row>
    <row r="114">
      <c r="A114" s="1" t="s">
        <v>135</v>
      </c>
      <c r="B114" s="4">
        <v>45694.0</v>
      </c>
      <c r="C114" s="2">
        <v>1548497.0</v>
      </c>
      <c r="D114" s="3">
        <v>17.99</v>
      </c>
      <c r="E114" s="1">
        <v>60.0</v>
      </c>
      <c r="F114" s="1" t="s">
        <v>12</v>
      </c>
      <c r="G114" s="1" t="s">
        <v>17</v>
      </c>
      <c r="H114" s="1" t="s">
        <v>14</v>
      </c>
      <c r="I114" s="2">
        <v>348218.0</v>
      </c>
      <c r="J114" s="2">
        <v>17661.0</v>
      </c>
      <c r="K114" s="5">
        <f t="shared" si="1"/>
        <v>2</v>
      </c>
    </row>
    <row r="115">
      <c r="A115" s="1" t="s">
        <v>136</v>
      </c>
      <c r="B115" s="4">
        <v>45802.0</v>
      </c>
      <c r="C115" s="2">
        <v>839765.0</v>
      </c>
      <c r="D115" s="3">
        <v>12.92</v>
      </c>
      <c r="E115" s="1">
        <v>24.0</v>
      </c>
      <c r="F115" s="1" t="s">
        <v>19</v>
      </c>
      <c r="G115" s="1" t="s">
        <v>22</v>
      </c>
      <c r="H115" s="1" t="s">
        <v>14</v>
      </c>
      <c r="I115" s="2">
        <v>99456.0</v>
      </c>
      <c r="J115" s="2">
        <v>15935.0</v>
      </c>
      <c r="K115" s="5">
        <f t="shared" si="1"/>
        <v>5</v>
      </c>
    </row>
    <row r="116">
      <c r="A116" s="1" t="s">
        <v>137</v>
      </c>
      <c r="B116" s="4">
        <v>45722.0</v>
      </c>
      <c r="C116" s="2">
        <v>425140.0</v>
      </c>
      <c r="D116" s="3">
        <v>9.32</v>
      </c>
      <c r="E116" s="1">
        <v>36.0</v>
      </c>
      <c r="F116" s="1" t="s">
        <v>16</v>
      </c>
      <c r="G116" s="1" t="s">
        <v>35</v>
      </c>
      <c r="H116" s="1" t="s">
        <v>14</v>
      </c>
      <c r="I116" s="2">
        <v>46226.0</v>
      </c>
      <c r="J116" s="2">
        <v>7201.0</v>
      </c>
      <c r="K116" s="5">
        <f t="shared" si="1"/>
        <v>3</v>
      </c>
    </row>
    <row r="117">
      <c r="A117" s="1" t="s">
        <v>138</v>
      </c>
      <c r="B117" s="4">
        <v>46014.0</v>
      </c>
      <c r="C117" s="2">
        <v>306257.0</v>
      </c>
      <c r="D117" s="3">
        <v>16.12</v>
      </c>
      <c r="E117" s="1">
        <v>60.0</v>
      </c>
      <c r="F117" s="1" t="s">
        <v>12</v>
      </c>
      <c r="G117" s="1" t="s">
        <v>35</v>
      </c>
      <c r="H117" s="1" t="s">
        <v>25</v>
      </c>
      <c r="I117" s="2">
        <v>16456.0</v>
      </c>
      <c r="J117" s="2">
        <v>3559.0</v>
      </c>
      <c r="K117" s="5">
        <f t="shared" si="1"/>
        <v>12</v>
      </c>
    </row>
    <row r="118">
      <c r="A118" s="1" t="s">
        <v>139</v>
      </c>
      <c r="B118" s="4">
        <v>45658.0</v>
      </c>
      <c r="C118" s="2">
        <v>357807.0</v>
      </c>
      <c r="D118" s="3">
        <v>11.85</v>
      </c>
      <c r="E118" s="1">
        <v>12.0</v>
      </c>
      <c r="F118" s="1" t="s">
        <v>16</v>
      </c>
      <c r="G118" s="1" t="s">
        <v>13</v>
      </c>
      <c r="H118" s="1" t="s">
        <v>14</v>
      </c>
      <c r="I118" s="2">
        <v>42400.0</v>
      </c>
      <c r="J118" s="2">
        <v>4188.0</v>
      </c>
      <c r="K118" s="5">
        <f t="shared" si="1"/>
        <v>1</v>
      </c>
    </row>
    <row r="119">
      <c r="A119" s="1" t="s">
        <v>140</v>
      </c>
      <c r="B119" s="4">
        <v>46117.0</v>
      </c>
      <c r="C119" s="2">
        <v>820834.0</v>
      </c>
      <c r="D119" s="3">
        <v>17.27</v>
      </c>
      <c r="E119" s="1">
        <v>12.0</v>
      </c>
      <c r="F119" s="1" t="s">
        <v>16</v>
      </c>
      <c r="G119" s="1" t="s">
        <v>17</v>
      </c>
      <c r="H119" s="1" t="s">
        <v>14</v>
      </c>
      <c r="I119" s="2">
        <v>11813.0</v>
      </c>
      <c r="J119" s="2">
        <v>12323.0</v>
      </c>
      <c r="K119" s="5">
        <f t="shared" si="1"/>
        <v>4</v>
      </c>
    </row>
    <row r="120">
      <c r="A120" s="1" t="s">
        <v>141</v>
      </c>
      <c r="B120" s="4">
        <v>45778.0</v>
      </c>
      <c r="C120" s="2">
        <v>207885.0</v>
      </c>
      <c r="D120" s="3">
        <v>14.37</v>
      </c>
      <c r="E120" s="1">
        <v>12.0</v>
      </c>
      <c r="F120" s="1" t="s">
        <v>19</v>
      </c>
      <c r="G120" s="1" t="s">
        <v>17</v>
      </c>
      <c r="H120" s="1" t="s">
        <v>14</v>
      </c>
      <c r="I120" s="2">
        <v>29873.0</v>
      </c>
      <c r="J120" s="2">
        <v>3344.0</v>
      </c>
      <c r="K120" s="5">
        <f t="shared" si="1"/>
        <v>5</v>
      </c>
    </row>
    <row r="121">
      <c r="A121" s="1" t="s">
        <v>142</v>
      </c>
      <c r="B121" s="4">
        <v>45914.0</v>
      </c>
      <c r="C121" s="2">
        <v>760855.0</v>
      </c>
      <c r="D121" s="3">
        <v>14.32</v>
      </c>
      <c r="E121" s="1">
        <v>24.0</v>
      </c>
      <c r="F121" s="1" t="s">
        <v>27</v>
      </c>
      <c r="G121" s="1" t="s">
        <v>35</v>
      </c>
      <c r="H121" s="1" t="s">
        <v>14</v>
      </c>
      <c r="I121" s="2">
        <v>72636.0</v>
      </c>
      <c r="J121" s="2">
        <v>10368.0</v>
      </c>
      <c r="K121" s="5">
        <f t="shared" si="1"/>
        <v>9</v>
      </c>
    </row>
    <row r="122">
      <c r="A122" s="1" t="s">
        <v>143</v>
      </c>
      <c r="B122" s="4">
        <v>45918.0</v>
      </c>
      <c r="C122" s="2">
        <v>60517.0</v>
      </c>
      <c r="D122" s="3">
        <v>13.16</v>
      </c>
      <c r="E122" s="1">
        <v>60.0</v>
      </c>
      <c r="F122" s="1" t="s">
        <v>12</v>
      </c>
      <c r="G122" s="1" t="s">
        <v>20</v>
      </c>
      <c r="H122" s="1" t="s">
        <v>14</v>
      </c>
      <c r="I122" s="2">
        <v>5309.0</v>
      </c>
      <c r="J122" s="2">
        <v>908.0</v>
      </c>
      <c r="K122" s="5">
        <f t="shared" si="1"/>
        <v>9</v>
      </c>
    </row>
    <row r="123">
      <c r="A123" s="1" t="s">
        <v>144</v>
      </c>
      <c r="B123" s="4">
        <v>45847.0</v>
      </c>
      <c r="C123" s="2">
        <v>2696646.0</v>
      </c>
      <c r="D123" s="3">
        <v>13.08</v>
      </c>
      <c r="E123" s="1">
        <v>24.0</v>
      </c>
      <c r="F123" s="1" t="s">
        <v>19</v>
      </c>
      <c r="G123" s="1" t="s">
        <v>35</v>
      </c>
      <c r="H123" s="1" t="s">
        <v>14</v>
      </c>
      <c r="I123" s="2">
        <v>293934.0</v>
      </c>
      <c r="J123" s="2">
        <v>48356.0</v>
      </c>
      <c r="K123" s="5">
        <f t="shared" si="1"/>
        <v>7</v>
      </c>
    </row>
    <row r="124">
      <c r="A124" s="1" t="s">
        <v>145</v>
      </c>
      <c r="B124" s="4">
        <v>46100.0</v>
      </c>
      <c r="C124" s="2">
        <v>2631907.0</v>
      </c>
      <c r="D124" s="3">
        <v>17.55</v>
      </c>
      <c r="E124" s="1">
        <v>48.0</v>
      </c>
      <c r="F124" s="1" t="s">
        <v>12</v>
      </c>
      <c r="G124" s="1" t="s">
        <v>20</v>
      </c>
      <c r="H124" s="1" t="s">
        <v>14</v>
      </c>
      <c r="I124" s="2">
        <v>76983.0</v>
      </c>
      <c r="J124" s="2">
        <v>51866.0</v>
      </c>
      <c r="K124" s="5">
        <f t="shared" si="1"/>
        <v>3</v>
      </c>
    </row>
    <row r="125">
      <c r="A125" s="1" t="s">
        <v>146</v>
      </c>
      <c r="B125" s="4">
        <v>46027.0</v>
      </c>
      <c r="C125" s="2">
        <v>1323368.0</v>
      </c>
      <c r="D125" s="3">
        <v>12.74</v>
      </c>
      <c r="E125" s="1">
        <v>60.0</v>
      </c>
      <c r="F125" s="1" t="s">
        <v>12</v>
      </c>
      <c r="G125" s="1" t="s">
        <v>17</v>
      </c>
      <c r="H125" s="1" t="s">
        <v>14</v>
      </c>
      <c r="I125" s="2">
        <v>56199.0</v>
      </c>
      <c r="J125" s="2">
        <v>22585.0</v>
      </c>
      <c r="K125" s="5">
        <f t="shared" si="1"/>
        <v>1</v>
      </c>
    </row>
    <row r="126">
      <c r="A126" s="1" t="s">
        <v>147</v>
      </c>
      <c r="B126" s="4">
        <v>45686.0</v>
      </c>
      <c r="C126" s="2">
        <v>2659177.0</v>
      </c>
      <c r="D126" s="3">
        <v>11.92</v>
      </c>
      <c r="E126" s="1">
        <v>60.0</v>
      </c>
      <c r="F126" s="1" t="s">
        <v>12</v>
      </c>
      <c r="G126" s="1" t="s">
        <v>17</v>
      </c>
      <c r="H126" s="1" t="s">
        <v>14</v>
      </c>
      <c r="I126" s="2">
        <v>396217.0</v>
      </c>
      <c r="J126" s="2">
        <v>27455.0</v>
      </c>
      <c r="K126" s="5">
        <f t="shared" si="1"/>
        <v>1</v>
      </c>
    </row>
    <row r="127">
      <c r="A127" s="1" t="s">
        <v>148</v>
      </c>
      <c r="B127" s="4">
        <v>45996.0</v>
      </c>
      <c r="C127" s="2">
        <v>2510724.0</v>
      </c>
      <c r="D127" s="3">
        <v>8.79</v>
      </c>
      <c r="E127" s="1">
        <v>60.0</v>
      </c>
      <c r="F127" s="1" t="s">
        <v>19</v>
      </c>
      <c r="G127" s="1" t="s">
        <v>22</v>
      </c>
      <c r="H127" s="1" t="s">
        <v>14</v>
      </c>
      <c r="I127" s="2">
        <v>91955.0</v>
      </c>
      <c r="J127" s="2">
        <v>32832.0</v>
      </c>
      <c r="K127" s="5">
        <f t="shared" si="1"/>
        <v>12</v>
      </c>
    </row>
    <row r="128">
      <c r="A128" s="1" t="s">
        <v>149</v>
      </c>
      <c r="B128" s="4">
        <v>45760.0</v>
      </c>
      <c r="C128" s="2">
        <v>988111.0</v>
      </c>
      <c r="D128" s="3">
        <v>14.17</v>
      </c>
      <c r="E128" s="1">
        <v>12.0</v>
      </c>
      <c r="F128" s="1" t="s">
        <v>27</v>
      </c>
      <c r="G128" s="1" t="s">
        <v>20</v>
      </c>
      <c r="H128" s="1" t="s">
        <v>14</v>
      </c>
      <c r="I128" s="2">
        <v>140015.0</v>
      </c>
      <c r="J128" s="2">
        <v>17164.0</v>
      </c>
      <c r="K128" s="5">
        <f t="shared" si="1"/>
        <v>4</v>
      </c>
    </row>
    <row r="129">
      <c r="A129" s="1" t="s">
        <v>150</v>
      </c>
      <c r="B129" s="4">
        <v>45943.0</v>
      </c>
      <c r="C129" s="2">
        <v>1099470.0</v>
      </c>
      <c r="D129" s="3">
        <v>13.6</v>
      </c>
      <c r="E129" s="1">
        <v>24.0</v>
      </c>
      <c r="F129" s="1" t="s">
        <v>27</v>
      </c>
      <c r="G129" s="1" t="s">
        <v>13</v>
      </c>
      <c r="H129" s="1" t="s">
        <v>14</v>
      </c>
      <c r="I129" s="2">
        <v>87224.0</v>
      </c>
      <c r="J129" s="2">
        <v>11895.0</v>
      </c>
      <c r="K129" s="5">
        <f t="shared" si="1"/>
        <v>10</v>
      </c>
    </row>
    <row r="130">
      <c r="A130" s="1" t="s">
        <v>151</v>
      </c>
      <c r="B130" s="4">
        <v>45992.0</v>
      </c>
      <c r="C130" s="2">
        <v>114539.0</v>
      </c>
      <c r="D130" s="3">
        <v>14.59</v>
      </c>
      <c r="E130" s="1">
        <v>48.0</v>
      </c>
      <c r="F130" s="1" t="s">
        <v>16</v>
      </c>
      <c r="G130" s="1" t="s">
        <v>20</v>
      </c>
      <c r="H130" s="1" t="s">
        <v>14</v>
      </c>
      <c r="I130" s="2">
        <v>6963.0</v>
      </c>
      <c r="J130" s="2">
        <v>2096.0</v>
      </c>
      <c r="K130" s="5">
        <f t="shared" si="1"/>
        <v>12</v>
      </c>
    </row>
    <row r="131">
      <c r="A131" s="1" t="s">
        <v>152</v>
      </c>
      <c r="B131" s="4">
        <v>46093.0</v>
      </c>
      <c r="C131" s="2">
        <v>1489762.0</v>
      </c>
      <c r="D131" s="3">
        <v>12.56</v>
      </c>
      <c r="E131" s="1">
        <v>60.0</v>
      </c>
      <c r="F131" s="1" t="s">
        <v>19</v>
      </c>
      <c r="G131" s="1" t="s">
        <v>35</v>
      </c>
      <c r="H131" s="1" t="s">
        <v>14</v>
      </c>
      <c r="I131" s="2">
        <v>31185.0</v>
      </c>
      <c r="J131" s="2">
        <v>23068.0</v>
      </c>
      <c r="K131" s="5">
        <f t="shared" si="1"/>
        <v>3</v>
      </c>
    </row>
    <row r="132">
      <c r="A132" s="1" t="s">
        <v>153</v>
      </c>
      <c r="B132" s="4">
        <v>45870.0</v>
      </c>
      <c r="C132" s="2">
        <v>2869424.0</v>
      </c>
      <c r="D132" s="3">
        <v>14.45</v>
      </c>
      <c r="E132" s="1">
        <v>60.0</v>
      </c>
      <c r="F132" s="1" t="s">
        <v>19</v>
      </c>
      <c r="G132" s="1" t="s">
        <v>13</v>
      </c>
      <c r="H132" s="1" t="s">
        <v>25</v>
      </c>
      <c r="I132" s="2">
        <v>310973.0</v>
      </c>
      <c r="J132" s="2">
        <v>38472.0</v>
      </c>
      <c r="K132" s="5">
        <f t="shared" si="1"/>
        <v>8</v>
      </c>
    </row>
    <row r="133">
      <c r="A133" s="1" t="s">
        <v>154</v>
      </c>
      <c r="B133" s="4">
        <v>45781.0</v>
      </c>
      <c r="C133" s="2">
        <v>2395308.0</v>
      </c>
      <c r="D133" s="3">
        <v>14.98</v>
      </c>
      <c r="E133" s="1">
        <v>24.0</v>
      </c>
      <c r="F133" s="1" t="s">
        <v>16</v>
      </c>
      <c r="G133" s="1" t="s">
        <v>22</v>
      </c>
      <c r="H133" s="1" t="s">
        <v>14</v>
      </c>
      <c r="I133" s="2">
        <v>358817.0</v>
      </c>
      <c r="J133" s="2">
        <v>40987.0</v>
      </c>
      <c r="K133" s="5">
        <f t="shared" si="1"/>
        <v>5</v>
      </c>
    </row>
    <row r="134">
      <c r="A134" s="1" t="s">
        <v>155</v>
      </c>
      <c r="B134" s="4">
        <v>45936.0</v>
      </c>
      <c r="C134" s="2">
        <v>175293.0</v>
      </c>
      <c r="D134" s="3">
        <v>14.54</v>
      </c>
      <c r="E134" s="1">
        <v>36.0</v>
      </c>
      <c r="F134" s="1" t="s">
        <v>12</v>
      </c>
      <c r="G134" s="1" t="s">
        <v>17</v>
      </c>
      <c r="H134" s="1" t="s">
        <v>14</v>
      </c>
      <c r="I134" s="2">
        <v>14867.0</v>
      </c>
      <c r="J134" s="2">
        <v>2981.0</v>
      </c>
      <c r="K134" s="5">
        <f t="shared" si="1"/>
        <v>10</v>
      </c>
    </row>
    <row r="135">
      <c r="A135" s="1" t="s">
        <v>156</v>
      </c>
      <c r="B135" s="4">
        <v>45645.0</v>
      </c>
      <c r="C135" s="2">
        <v>1578325.0</v>
      </c>
      <c r="D135" s="3">
        <v>9.79</v>
      </c>
      <c r="E135" s="1">
        <v>36.0</v>
      </c>
      <c r="F135" s="1" t="s">
        <v>27</v>
      </c>
      <c r="G135" s="1" t="s">
        <v>22</v>
      </c>
      <c r="H135" s="1" t="s">
        <v>14</v>
      </c>
      <c r="I135" s="2">
        <v>218900.0</v>
      </c>
      <c r="J135" s="2">
        <v>23175.0</v>
      </c>
      <c r="K135" s="5">
        <f t="shared" si="1"/>
        <v>12</v>
      </c>
    </row>
    <row r="136">
      <c r="A136" s="1" t="s">
        <v>157</v>
      </c>
      <c r="B136" s="4">
        <v>46081.0</v>
      </c>
      <c r="C136" s="2">
        <v>2699534.0</v>
      </c>
      <c r="D136" s="3">
        <v>16.14</v>
      </c>
      <c r="E136" s="1">
        <v>48.0</v>
      </c>
      <c r="F136" s="1" t="s">
        <v>19</v>
      </c>
      <c r="G136" s="1" t="s">
        <v>22</v>
      </c>
      <c r="H136" s="1" t="s">
        <v>14</v>
      </c>
      <c r="I136" s="2">
        <v>72617.0</v>
      </c>
      <c r="J136" s="2">
        <v>43451.0</v>
      </c>
      <c r="K136" s="5">
        <f t="shared" si="1"/>
        <v>2</v>
      </c>
    </row>
    <row r="137">
      <c r="A137" s="1" t="s">
        <v>158</v>
      </c>
      <c r="B137" s="4">
        <v>45990.0</v>
      </c>
      <c r="C137" s="2">
        <v>394210.0</v>
      </c>
      <c r="D137" s="3">
        <v>13.98</v>
      </c>
      <c r="E137" s="1">
        <v>12.0</v>
      </c>
      <c r="F137" s="1" t="s">
        <v>19</v>
      </c>
      <c r="G137" s="1" t="s">
        <v>22</v>
      </c>
      <c r="H137" s="1" t="s">
        <v>14</v>
      </c>
      <c r="I137" s="2">
        <v>22962.0</v>
      </c>
      <c r="J137" s="2">
        <v>4874.0</v>
      </c>
      <c r="K137" s="5">
        <f t="shared" si="1"/>
        <v>11</v>
      </c>
    </row>
    <row r="138">
      <c r="A138" s="1" t="s">
        <v>159</v>
      </c>
      <c r="B138" s="4">
        <v>45658.0</v>
      </c>
      <c r="C138" s="2">
        <v>660321.0</v>
      </c>
      <c r="D138" s="3">
        <v>17.75</v>
      </c>
      <c r="E138" s="1">
        <v>60.0</v>
      </c>
      <c r="F138" s="1" t="s">
        <v>19</v>
      </c>
      <c r="G138" s="1" t="s">
        <v>13</v>
      </c>
      <c r="H138" s="1" t="s">
        <v>14</v>
      </c>
      <c r="I138" s="2">
        <v>156275.0</v>
      </c>
      <c r="J138" s="2">
        <v>11414.0</v>
      </c>
      <c r="K138" s="5">
        <f t="shared" si="1"/>
        <v>1</v>
      </c>
    </row>
    <row r="139">
      <c r="A139" s="1" t="s">
        <v>160</v>
      </c>
      <c r="B139" s="4">
        <v>46107.0</v>
      </c>
      <c r="C139" s="2">
        <v>1954300.0</v>
      </c>
      <c r="D139" s="3">
        <v>10.78</v>
      </c>
      <c r="E139" s="1">
        <v>60.0</v>
      </c>
      <c r="F139" s="1" t="s">
        <v>16</v>
      </c>
      <c r="G139" s="1" t="s">
        <v>35</v>
      </c>
      <c r="H139" s="1" t="s">
        <v>25</v>
      </c>
      <c r="I139" s="2">
        <v>17556.0</v>
      </c>
      <c r="J139" s="2">
        <v>37016.0</v>
      </c>
      <c r="K139" s="5">
        <f t="shared" si="1"/>
        <v>3</v>
      </c>
    </row>
    <row r="140">
      <c r="A140" s="1" t="s">
        <v>161</v>
      </c>
      <c r="B140" s="4">
        <v>45642.0</v>
      </c>
      <c r="C140" s="2">
        <v>904451.0</v>
      </c>
      <c r="D140" s="3">
        <v>11.37</v>
      </c>
      <c r="E140" s="1">
        <v>12.0</v>
      </c>
      <c r="F140" s="1" t="s">
        <v>16</v>
      </c>
      <c r="G140" s="1" t="s">
        <v>17</v>
      </c>
      <c r="H140" s="1" t="s">
        <v>14</v>
      </c>
      <c r="I140" s="2">
        <v>102836.0</v>
      </c>
      <c r="J140" s="2">
        <v>10430.0</v>
      </c>
      <c r="K140" s="5">
        <f t="shared" si="1"/>
        <v>12</v>
      </c>
    </row>
    <row r="141">
      <c r="A141" s="1" t="s">
        <v>162</v>
      </c>
      <c r="B141" s="4">
        <v>45940.0</v>
      </c>
      <c r="C141" s="2">
        <v>2029428.0</v>
      </c>
      <c r="D141" s="3">
        <v>11.35</v>
      </c>
      <c r="E141" s="1">
        <v>12.0</v>
      </c>
      <c r="F141" s="1" t="s">
        <v>12</v>
      </c>
      <c r="G141" s="1" t="s">
        <v>13</v>
      </c>
      <c r="H141" s="1" t="s">
        <v>14</v>
      </c>
      <c r="I141" s="2">
        <v>134365.0</v>
      </c>
      <c r="J141" s="2">
        <v>24559.0</v>
      </c>
      <c r="K141" s="5">
        <f t="shared" si="1"/>
        <v>10</v>
      </c>
    </row>
    <row r="142">
      <c r="A142" s="1" t="s">
        <v>163</v>
      </c>
      <c r="B142" s="4">
        <v>46052.0</v>
      </c>
      <c r="C142" s="2">
        <v>807348.0</v>
      </c>
      <c r="D142" s="3">
        <v>13.31</v>
      </c>
      <c r="E142" s="1">
        <v>48.0</v>
      </c>
      <c r="F142" s="1" t="s">
        <v>16</v>
      </c>
      <c r="G142" s="1" t="s">
        <v>13</v>
      </c>
      <c r="H142" s="1" t="s">
        <v>14</v>
      </c>
      <c r="I142" s="2">
        <v>26864.0</v>
      </c>
      <c r="J142" s="2">
        <v>9092.0</v>
      </c>
      <c r="K142" s="5">
        <f t="shared" si="1"/>
        <v>1</v>
      </c>
    </row>
    <row r="143">
      <c r="A143" s="1" t="s">
        <v>164</v>
      </c>
      <c r="B143" s="4">
        <v>45844.0</v>
      </c>
      <c r="C143" s="2">
        <v>2112270.0</v>
      </c>
      <c r="D143" s="3">
        <v>11.37</v>
      </c>
      <c r="E143" s="1">
        <v>48.0</v>
      </c>
      <c r="F143" s="1" t="s">
        <v>16</v>
      </c>
      <c r="G143" s="1" t="s">
        <v>22</v>
      </c>
      <c r="H143" s="1" t="s">
        <v>14</v>
      </c>
      <c r="I143" s="2">
        <v>200137.0</v>
      </c>
      <c r="J143" s="2">
        <v>27920.0</v>
      </c>
      <c r="K143" s="5">
        <f t="shared" si="1"/>
        <v>7</v>
      </c>
    </row>
    <row r="144">
      <c r="A144" s="1" t="s">
        <v>165</v>
      </c>
      <c r="B144" s="4">
        <v>45881.0</v>
      </c>
      <c r="C144" s="2">
        <v>1539990.0</v>
      </c>
      <c r="D144" s="3">
        <v>17.42</v>
      </c>
      <c r="E144" s="1">
        <v>60.0</v>
      </c>
      <c r="F144" s="1" t="s">
        <v>19</v>
      </c>
      <c r="G144" s="1" t="s">
        <v>35</v>
      </c>
      <c r="H144" s="1" t="s">
        <v>14</v>
      </c>
      <c r="I144" s="2">
        <v>201199.0</v>
      </c>
      <c r="J144" s="2">
        <v>18040.0</v>
      </c>
      <c r="K144" s="5">
        <f t="shared" si="1"/>
        <v>8</v>
      </c>
    </row>
    <row r="145">
      <c r="A145" s="1" t="s">
        <v>166</v>
      </c>
      <c r="B145" s="4">
        <v>45763.0</v>
      </c>
      <c r="C145" s="2">
        <v>2073809.0</v>
      </c>
      <c r="D145" s="3">
        <v>10.43</v>
      </c>
      <c r="E145" s="1">
        <v>12.0</v>
      </c>
      <c r="F145" s="1" t="s">
        <v>27</v>
      </c>
      <c r="G145" s="1" t="s">
        <v>22</v>
      </c>
      <c r="H145" s="1" t="s">
        <v>14</v>
      </c>
      <c r="I145" s="2">
        <v>216298.0</v>
      </c>
      <c r="J145" s="2">
        <v>28044.0</v>
      </c>
      <c r="K145" s="5">
        <f t="shared" si="1"/>
        <v>4</v>
      </c>
    </row>
    <row r="146">
      <c r="A146" s="1" t="s">
        <v>167</v>
      </c>
      <c r="B146" s="4">
        <v>45682.0</v>
      </c>
      <c r="C146" s="2">
        <v>2355022.0</v>
      </c>
      <c r="D146" s="3">
        <v>16.85</v>
      </c>
      <c r="E146" s="1">
        <v>24.0</v>
      </c>
      <c r="F146" s="1" t="s">
        <v>19</v>
      </c>
      <c r="G146" s="1" t="s">
        <v>35</v>
      </c>
      <c r="H146" s="1" t="s">
        <v>14</v>
      </c>
      <c r="I146" s="2">
        <v>496026.0</v>
      </c>
      <c r="J146" s="2">
        <v>45369.0</v>
      </c>
      <c r="K146" s="5">
        <f t="shared" si="1"/>
        <v>1</v>
      </c>
    </row>
    <row r="147">
      <c r="A147" s="1" t="s">
        <v>168</v>
      </c>
      <c r="B147" s="4">
        <v>45922.0</v>
      </c>
      <c r="C147" s="2">
        <v>2819599.0</v>
      </c>
      <c r="D147" s="3">
        <v>13.81</v>
      </c>
      <c r="E147" s="1">
        <v>60.0</v>
      </c>
      <c r="F147" s="1" t="s">
        <v>19</v>
      </c>
      <c r="G147" s="1" t="s">
        <v>20</v>
      </c>
      <c r="H147" s="1" t="s">
        <v>54</v>
      </c>
      <c r="I147" s="2">
        <v>227142.0</v>
      </c>
      <c r="J147" s="2">
        <v>52986.0</v>
      </c>
      <c r="K147" s="5">
        <f t="shared" si="1"/>
        <v>9</v>
      </c>
    </row>
    <row r="148">
      <c r="A148" s="1" t="s">
        <v>169</v>
      </c>
      <c r="B148" s="4">
        <v>45860.0</v>
      </c>
      <c r="C148" s="2">
        <v>228481.0</v>
      </c>
      <c r="D148" s="3">
        <v>10.52</v>
      </c>
      <c r="E148" s="1">
        <v>24.0</v>
      </c>
      <c r="F148" s="1" t="s">
        <v>19</v>
      </c>
      <c r="G148" s="1" t="s">
        <v>20</v>
      </c>
      <c r="H148" s="1" t="s">
        <v>14</v>
      </c>
      <c r="I148" s="2">
        <v>20030.0</v>
      </c>
      <c r="J148" s="2">
        <v>3633.0</v>
      </c>
      <c r="K148" s="5">
        <f t="shared" si="1"/>
        <v>7</v>
      </c>
    </row>
    <row r="149">
      <c r="A149" s="1" t="s">
        <v>170</v>
      </c>
      <c r="B149" s="4">
        <v>45905.0</v>
      </c>
      <c r="C149" s="2">
        <v>1405267.0</v>
      </c>
      <c r="D149" s="3">
        <v>8.75</v>
      </c>
      <c r="E149" s="1">
        <v>12.0</v>
      </c>
      <c r="F149" s="1" t="s">
        <v>27</v>
      </c>
      <c r="G149" s="1" t="s">
        <v>35</v>
      </c>
      <c r="H149" s="1" t="s">
        <v>54</v>
      </c>
      <c r="I149" s="2">
        <v>81973.0</v>
      </c>
      <c r="J149" s="2">
        <v>17273.0</v>
      </c>
      <c r="K149" s="5">
        <f t="shared" si="1"/>
        <v>9</v>
      </c>
    </row>
    <row r="150">
      <c r="A150" s="1" t="s">
        <v>171</v>
      </c>
      <c r="B150" s="4">
        <v>45801.0</v>
      </c>
      <c r="C150" s="2">
        <v>2572230.0</v>
      </c>
      <c r="D150" s="3">
        <v>8.68</v>
      </c>
      <c r="E150" s="1">
        <v>60.0</v>
      </c>
      <c r="F150" s="1" t="s">
        <v>27</v>
      </c>
      <c r="G150" s="1" t="s">
        <v>22</v>
      </c>
      <c r="H150" s="1" t="s">
        <v>14</v>
      </c>
      <c r="I150" s="2">
        <v>223269.0</v>
      </c>
      <c r="J150" s="2">
        <v>39678.0</v>
      </c>
      <c r="K150" s="5">
        <f t="shared" si="1"/>
        <v>5</v>
      </c>
    </row>
    <row r="151">
      <c r="A151" s="1" t="s">
        <v>172</v>
      </c>
      <c r="B151" s="4">
        <v>45834.0</v>
      </c>
      <c r="C151" s="2">
        <v>245002.0</v>
      </c>
      <c r="D151" s="3">
        <v>9.42</v>
      </c>
      <c r="E151" s="1">
        <v>36.0</v>
      </c>
      <c r="F151" s="1" t="s">
        <v>19</v>
      </c>
      <c r="G151" s="1" t="s">
        <v>22</v>
      </c>
      <c r="H151" s="1" t="s">
        <v>14</v>
      </c>
      <c r="I151" s="2">
        <v>19232.0</v>
      </c>
      <c r="J151" s="2">
        <v>3148.0</v>
      </c>
      <c r="K151" s="5">
        <f t="shared" si="1"/>
        <v>6</v>
      </c>
    </row>
    <row r="152">
      <c r="A152" s="1" t="s">
        <v>173</v>
      </c>
      <c r="B152" s="4">
        <v>45734.0</v>
      </c>
      <c r="C152" s="2">
        <v>2081541.0</v>
      </c>
      <c r="D152" s="3">
        <v>8.98</v>
      </c>
      <c r="E152" s="1">
        <v>48.0</v>
      </c>
      <c r="F152" s="1" t="s">
        <v>16</v>
      </c>
      <c r="G152" s="1" t="s">
        <v>20</v>
      </c>
      <c r="H152" s="1" t="s">
        <v>14</v>
      </c>
      <c r="I152" s="2">
        <v>218076.0</v>
      </c>
      <c r="J152" s="2">
        <v>21783.0</v>
      </c>
      <c r="K152" s="5">
        <f t="shared" si="1"/>
        <v>3</v>
      </c>
    </row>
    <row r="153">
      <c r="A153" s="1" t="s">
        <v>174</v>
      </c>
      <c r="B153" s="4">
        <v>46049.0</v>
      </c>
      <c r="C153" s="2">
        <v>1131723.0</v>
      </c>
      <c r="D153" s="3">
        <v>17.31</v>
      </c>
      <c r="E153" s="1">
        <v>36.0</v>
      </c>
      <c r="F153" s="1" t="s">
        <v>27</v>
      </c>
      <c r="G153" s="1" t="s">
        <v>13</v>
      </c>
      <c r="H153" s="1" t="s">
        <v>14</v>
      </c>
      <c r="I153" s="2">
        <v>48975.0</v>
      </c>
      <c r="J153" s="2">
        <v>12782.0</v>
      </c>
      <c r="K153" s="5">
        <f t="shared" si="1"/>
        <v>1</v>
      </c>
    </row>
    <row r="154">
      <c r="A154" s="1" t="s">
        <v>175</v>
      </c>
      <c r="B154" s="4">
        <v>45833.0</v>
      </c>
      <c r="C154" s="2">
        <v>1502348.0</v>
      </c>
      <c r="D154" s="3">
        <v>10.77</v>
      </c>
      <c r="E154" s="1">
        <v>48.0</v>
      </c>
      <c r="F154" s="1" t="s">
        <v>12</v>
      </c>
      <c r="G154" s="1" t="s">
        <v>20</v>
      </c>
      <c r="H154" s="1" t="s">
        <v>14</v>
      </c>
      <c r="I154" s="2">
        <v>134835.0</v>
      </c>
      <c r="J154" s="2">
        <v>26700.0</v>
      </c>
      <c r="K154" s="5">
        <f t="shared" si="1"/>
        <v>6</v>
      </c>
    </row>
    <row r="155">
      <c r="A155" s="1" t="s">
        <v>176</v>
      </c>
      <c r="B155" s="4">
        <v>45897.0</v>
      </c>
      <c r="C155" s="2">
        <v>513048.0</v>
      </c>
      <c r="D155" s="3">
        <v>15.29</v>
      </c>
      <c r="E155" s="1">
        <v>12.0</v>
      </c>
      <c r="F155" s="1" t="s">
        <v>16</v>
      </c>
      <c r="G155" s="1" t="s">
        <v>20</v>
      </c>
      <c r="H155" s="1" t="s">
        <v>14</v>
      </c>
      <c r="I155" s="2">
        <v>52296.0</v>
      </c>
      <c r="J155" s="2">
        <v>6310.0</v>
      </c>
      <c r="K155" s="5">
        <f t="shared" si="1"/>
        <v>8</v>
      </c>
    </row>
    <row r="156">
      <c r="A156" s="1" t="s">
        <v>177</v>
      </c>
      <c r="B156" s="4">
        <v>45728.0</v>
      </c>
      <c r="C156" s="2">
        <v>2157809.0</v>
      </c>
      <c r="D156" s="3">
        <v>15.48</v>
      </c>
      <c r="E156" s="1">
        <v>24.0</v>
      </c>
      <c r="F156" s="1" t="s">
        <v>19</v>
      </c>
      <c r="G156" s="1" t="s">
        <v>17</v>
      </c>
      <c r="H156" s="1" t="s">
        <v>14</v>
      </c>
      <c r="I156" s="2">
        <v>389700.0</v>
      </c>
      <c r="J156" s="2">
        <v>22789.0</v>
      </c>
      <c r="K156" s="5">
        <f t="shared" si="1"/>
        <v>3</v>
      </c>
    </row>
    <row r="157">
      <c r="A157" s="1" t="s">
        <v>178</v>
      </c>
      <c r="B157" s="4">
        <v>46029.0</v>
      </c>
      <c r="C157" s="2">
        <v>1430589.0</v>
      </c>
      <c r="D157" s="3">
        <v>13.66</v>
      </c>
      <c r="E157" s="1">
        <v>48.0</v>
      </c>
      <c r="F157" s="1" t="s">
        <v>12</v>
      </c>
      <c r="G157" s="1" t="s">
        <v>35</v>
      </c>
      <c r="H157" s="1" t="s">
        <v>14</v>
      </c>
      <c r="I157" s="2">
        <v>65139.0</v>
      </c>
      <c r="J157" s="2">
        <v>19078.0</v>
      </c>
      <c r="K157" s="5">
        <f t="shared" si="1"/>
        <v>1</v>
      </c>
    </row>
    <row r="158">
      <c r="A158" s="1" t="s">
        <v>179</v>
      </c>
      <c r="B158" s="4">
        <v>45850.0</v>
      </c>
      <c r="C158" s="2">
        <v>1093715.0</v>
      </c>
      <c r="D158" s="3">
        <v>16.33</v>
      </c>
      <c r="E158" s="1">
        <v>36.0</v>
      </c>
      <c r="F158" s="1" t="s">
        <v>19</v>
      </c>
      <c r="G158" s="1" t="s">
        <v>17</v>
      </c>
      <c r="H158" s="1" t="s">
        <v>14</v>
      </c>
      <c r="I158" s="2">
        <v>148836.0</v>
      </c>
      <c r="J158" s="2">
        <v>15987.0</v>
      </c>
      <c r="K158" s="5">
        <f t="shared" si="1"/>
        <v>7</v>
      </c>
    </row>
    <row r="159">
      <c r="A159" s="1" t="s">
        <v>180</v>
      </c>
      <c r="B159" s="4">
        <v>45932.0</v>
      </c>
      <c r="C159" s="2">
        <v>1197828.0</v>
      </c>
      <c r="D159" s="3">
        <v>15.08</v>
      </c>
      <c r="E159" s="1">
        <v>12.0</v>
      </c>
      <c r="F159" s="1" t="s">
        <v>12</v>
      </c>
      <c r="G159" s="1" t="s">
        <v>20</v>
      </c>
      <c r="H159" s="1" t="s">
        <v>25</v>
      </c>
      <c r="I159" s="2">
        <v>105368.0</v>
      </c>
      <c r="J159" s="2">
        <v>16797.0</v>
      </c>
      <c r="K159" s="5">
        <f t="shared" si="1"/>
        <v>10</v>
      </c>
    </row>
    <row r="160">
      <c r="A160" s="1" t="s">
        <v>181</v>
      </c>
      <c r="B160" s="4">
        <v>45704.0</v>
      </c>
      <c r="C160" s="2">
        <v>273884.0</v>
      </c>
      <c r="D160" s="3">
        <v>9.85</v>
      </c>
      <c r="E160" s="1">
        <v>12.0</v>
      </c>
      <c r="F160" s="1" t="s">
        <v>19</v>
      </c>
      <c r="G160" s="1" t="s">
        <v>20</v>
      </c>
      <c r="H160" s="1" t="s">
        <v>14</v>
      </c>
      <c r="I160" s="2">
        <v>26977.0</v>
      </c>
      <c r="J160" s="2">
        <v>4048.0</v>
      </c>
      <c r="K160" s="5">
        <f t="shared" si="1"/>
        <v>2</v>
      </c>
    </row>
    <row r="161">
      <c r="A161" s="1" t="s">
        <v>182</v>
      </c>
      <c r="B161" s="4">
        <v>45692.0</v>
      </c>
      <c r="C161" s="2">
        <v>231186.0</v>
      </c>
      <c r="D161" s="3">
        <v>10.05</v>
      </c>
      <c r="E161" s="1">
        <v>36.0</v>
      </c>
      <c r="F161" s="1" t="s">
        <v>16</v>
      </c>
      <c r="G161" s="1" t="s">
        <v>17</v>
      </c>
      <c r="H161" s="1" t="s">
        <v>14</v>
      </c>
      <c r="I161" s="2">
        <v>29042.0</v>
      </c>
      <c r="J161" s="2">
        <v>3175.0</v>
      </c>
      <c r="K161" s="5">
        <f t="shared" si="1"/>
        <v>2</v>
      </c>
    </row>
    <row r="162">
      <c r="A162" s="1" t="s">
        <v>183</v>
      </c>
      <c r="B162" s="4">
        <v>45922.0</v>
      </c>
      <c r="C162" s="2">
        <v>2857756.0</v>
      </c>
      <c r="D162" s="3">
        <v>15.49</v>
      </c>
      <c r="E162" s="1">
        <v>12.0</v>
      </c>
      <c r="F162" s="1" t="s">
        <v>19</v>
      </c>
      <c r="G162" s="1" t="s">
        <v>35</v>
      </c>
      <c r="H162" s="1" t="s">
        <v>25</v>
      </c>
      <c r="I162" s="2">
        <v>258222.0</v>
      </c>
      <c r="J162" s="2">
        <v>29267.0</v>
      </c>
      <c r="K162" s="5">
        <f t="shared" si="1"/>
        <v>9</v>
      </c>
    </row>
    <row r="163">
      <c r="A163" s="1" t="s">
        <v>184</v>
      </c>
      <c r="B163" s="4">
        <v>45644.0</v>
      </c>
      <c r="C163" s="2">
        <v>896153.0</v>
      </c>
      <c r="D163" s="3">
        <v>11.0</v>
      </c>
      <c r="E163" s="1">
        <v>60.0</v>
      </c>
      <c r="F163" s="1" t="s">
        <v>12</v>
      </c>
      <c r="G163" s="1" t="s">
        <v>17</v>
      </c>
      <c r="H163" s="1" t="s">
        <v>14</v>
      </c>
      <c r="I163" s="2">
        <v>139650.0</v>
      </c>
      <c r="J163" s="2">
        <v>11432.0</v>
      </c>
      <c r="K163" s="5">
        <f t="shared" si="1"/>
        <v>12</v>
      </c>
    </row>
    <row r="164">
      <c r="A164" s="1" t="s">
        <v>185</v>
      </c>
      <c r="B164" s="4">
        <v>45659.0</v>
      </c>
      <c r="C164" s="2">
        <v>114861.0</v>
      </c>
      <c r="D164" s="3">
        <v>16.75</v>
      </c>
      <c r="E164" s="1">
        <v>36.0</v>
      </c>
      <c r="F164" s="1" t="s">
        <v>19</v>
      </c>
      <c r="G164" s="1" t="s">
        <v>17</v>
      </c>
      <c r="H164" s="1" t="s">
        <v>14</v>
      </c>
      <c r="I164" s="2">
        <v>25652.0</v>
      </c>
      <c r="J164" s="2">
        <v>1315.0</v>
      </c>
      <c r="K164" s="5">
        <f t="shared" si="1"/>
        <v>1</v>
      </c>
    </row>
    <row r="165">
      <c r="A165" s="1" t="s">
        <v>186</v>
      </c>
      <c r="B165" s="4">
        <v>45985.0</v>
      </c>
      <c r="C165" s="2">
        <v>448499.0</v>
      </c>
      <c r="D165" s="3">
        <v>13.91</v>
      </c>
      <c r="E165" s="1">
        <v>60.0</v>
      </c>
      <c r="F165" s="1" t="s">
        <v>12</v>
      </c>
      <c r="G165" s="1" t="s">
        <v>13</v>
      </c>
      <c r="H165" s="1" t="s">
        <v>14</v>
      </c>
      <c r="I165" s="2">
        <v>25994.0</v>
      </c>
      <c r="J165" s="2">
        <v>6356.0</v>
      </c>
      <c r="K165" s="5">
        <f t="shared" si="1"/>
        <v>11</v>
      </c>
    </row>
    <row r="166">
      <c r="A166" s="1" t="s">
        <v>187</v>
      </c>
      <c r="B166" s="4">
        <v>45944.0</v>
      </c>
      <c r="C166" s="2">
        <v>2504912.0</v>
      </c>
      <c r="D166" s="3">
        <v>8.93</v>
      </c>
      <c r="E166" s="1">
        <v>48.0</v>
      </c>
      <c r="F166" s="1" t="s">
        <v>27</v>
      </c>
      <c r="G166" s="1" t="s">
        <v>22</v>
      </c>
      <c r="H166" s="1" t="s">
        <v>25</v>
      </c>
      <c r="I166" s="2">
        <v>130485.0</v>
      </c>
      <c r="J166" s="2">
        <v>45289.0</v>
      </c>
      <c r="K166" s="5">
        <f t="shared" si="1"/>
        <v>10</v>
      </c>
    </row>
    <row r="167">
      <c r="A167" s="1" t="s">
        <v>188</v>
      </c>
      <c r="B167" s="4">
        <v>45887.0</v>
      </c>
      <c r="C167" s="2">
        <v>310754.0</v>
      </c>
      <c r="D167" s="3">
        <v>10.64</v>
      </c>
      <c r="E167" s="1">
        <v>12.0</v>
      </c>
      <c r="F167" s="1" t="s">
        <v>19</v>
      </c>
      <c r="G167" s="1" t="s">
        <v>17</v>
      </c>
      <c r="H167" s="1" t="s">
        <v>14</v>
      </c>
      <c r="I167" s="2">
        <v>24798.0</v>
      </c>
      <c r="J167" s="2">
        <v>5843.0</v>
      </c>
      <c r="K167" s="5">
        <f t="shared" si="1"/>
        <v>8</v>
      </c>
    </row>
    <row r="168">
      <c r="A168" s="1" t="s">
        <v>189</v>
      </c>
      <c r="B168" s="4">
        <v>45700.0</v>
      </c>
      <c r="C168" s="2">
        <v>978090.0</v>
      </c>
      <c r="D168" s="3">
        <v>13.97</v>
      </c>
      <c r="E168" s="1">
        <v>24.0</v>
      </c>
      <c r="F168" s="1" t="s">
        <v>12</v>
      </c>
      <c r="G168" s="1" t="s">
        <v>35</v>
      </c>
      <c r="H168" s="1" t="s">
        <v>14</v>
      </c>
      <c r="I168" s="2">
        <v>170798.0</v>
      </c>
      <c r="J168" s="2">
        <v>15894.0</v>
      </c>
      <c r="K168" s="5">
        <f t="shared" si="1"/>
        <v>2</v>
      </c>
    </row>
    <row r="169">
      <c r="A169" s="1" t="s">
        <v>190</v>
      </c>
      <c r="B169" s="4">
        <v>45966.0</v>
      </c>
      <c r="C169" s="2">
        <v>65654.0</v>
      </c>
      <c r="D169" s="3">
        <v>17.99</v>
      </c>
      <c r="E169" s="1">
        <v>24.0</v>
      </c>
      <c r="F169" s="1" t="s">
        <v>19</v>
      </c>
      <c r="G169" s="1" t="s">
        <v>22</v>
      </c>
      <c r="H169" s="1" t="s">
        <v>14</v>
      </c>
      <c r="I169" s="2">
        <v>5905.0</v>
      </c>
      <c r="J169" s="2">
        <v>687.0</v>
      </c>
      <c r="K169" s="5">
        <f t="shared" si="1"/>
        <v>11</v>
      </c>
    </row>
    <row r="170">
      <c r="A170" s="1" t="s">
        <v>191</v>
      </c>
      <c r="B170" s="4">
        <v>46008.0</v>
      </c>
      <c r="C170" s="2">
        <v>917417.0</v>
      </c>
      <c r="D170" s="3">
        <v>17.41</v>
      </c>
      <c r="E170" s="1">
        <v>12.0</v>
      </c>
      <c r="F170" s="1" t="s">
        <v>27</v>
      </c>
      <c r="G170" s="1" t="s">
        <v>22</v>
      </c>
      <c r="H170" s="1" t="s">
        <v>14</v>
      </c>
      <c r="I170" s="2">
        <v>66550.0</v>
      </c>
      <c r="J170" s="2">
        <v>16821.0</v>
      </c>
      <c r="K170" s="5">
        <f t="shared" si="1"/>
        <v>12</v>
      </c>
    </row>
    <row r="171">
      <c r="A171" s="1" t="s">
        <v>192</v>
      </c>
      <c r="B171" s="4">
        <v>45659.0</v>
      </c>
      <c r="C171" s="2">
        <v>1553727.0</v>
      </c>
      <c r="D171" s="3">
        <v>15.85</v>
      </c>
      <c r="E171" s="1">
        <v>48.0</v>
      </c>
      <c r="F171" s="1" t="s">
        <v>16</v>
      </c>
      <c r="G171" s="1" t="s">
        <v>22</v>
      </c>
      <c r="H171" s="1" t="s">
        <v>14</v>
      </c>
      <c r="I171" s="2">
        <v>328354.0</v>
      </c>
      <c r="J171" s="2">
        <v>30768.0</v>
      </c>
      <c r="K171" s="5">
        <f t="shared" si="1"/>
        <v>1</v>
      </c>
    </row>
    <row r="172">
      <c r="A172" s="1" t="s">
        <v>193</v>
      </c>
      <c r="B172" s="4">
        <v>45806.0</v>
      </c>
      <c r="C172" s="2">
        <v>796348.0</v>
      </c>
      <c r="D172" s="3">
        <v>13.0</v>
      </c>
      <c r="E172" s="1">
        <v>36.0</v>
      </c>
      <c r="F172" s="1" t="s">
        <v>27</v>
      </c>
      <c r="G172" s="1" t="s">
        <v>22</v>
      </c>
      <c r="H172" s="1" t="s">
        <v>14</v>
      </c>
      <c r="I172" s="2">
        <v>94898.0</v>
      </c>
      <c r="J172" s="2">
        <v>11317.0</v>
      </c>
      <c r="K172" s="5">
        <f t="shared" si="1"/>
        <v>5</v>
      </c>
    </row>
    <row r="173">
      <c r="A173" s="1" t="s">
        <v>194</v>
      </c>
      <c r="B173" s="4">
        <v>46006.0</v>
      </c>
      <c r="C173" s="2">
        <v>2047585.0</v>
      </c>
      <c r="D173" s="3">
        <v>16.01</v>
      </c>
      <c r="E173" s="1">
        <v>36.0</v>
      </c>
      <c r="F173" s="1" t="s">
        <v>19</v>
      </c>
      <c r="G173" s="1" t="s">
        <v>13</v>
      </c>
      <c r="H173" s="1" t="s">
        <v>14</v>
      </c>
      <c r="I173" s="2">
        <v>136590.0</v>
      </c>
      <c r="J173" s="2">
        <v>20542.0</v>
      </c>
      <c r="K173" s="5">
        <f t="shared" si="1"/>
        <v>12</v>
      </c>
    </row>
    <row r="174">
      <c r="A174" s="1" t="s">
        <v>195</v>
      </c>
      <c r="B174" s="4">
        <v>45997.0</v>
      </c>
      <c r="C174" s="2">
        <v>2915798.0</v>
      </c>
      <c r="D174" s="3">
        <v>9.31</v>
      </c>
      <c r="E174" s="1">
        <v>24.0</v>
      </c>
      <c r="F174" s="1" t="s">
        <v>27</v>
      </c>
      <c r="G174" s="1" t="s">
        <v>35</v>
      </c>
      <c r="H174" s="1" t="s">
        <v>14</v>
      </c>
      <c r="I174" s="2">
        <v>113108.0</v>
      </c>
      <c r="J174" s="2">
        <v>53558.0</v>
      </c>
      <c r="K174" s="5">
        <f t="shared" si="1"/>
        <v>12</v>
      </c>
    </row>
    <row r="175">
      <c r="A175" s="1" t="s">
        <v>196</v>
      </c>
      <c r="B175" s="4">
        <v>45834.0</v>
      </c>
      <c r="C175" s="2">
        <v>1535343.0</v>
      </c>
      <c r="D175" s="3">
        <v>13.97</v>
      </c>
      <c r="E175" s="1">
        <v>36.0</v>
      </c>
      <c r="F175" s="1" t="s">
        <v>16</v>
      </c>
      <c r="G175" s="1" t="s">
        <v>20</v>
      </c>
      <c r="H175" s="1" t="s">
        <v>14</v>
      </c>
      <c r="I175" s="2">
        <v>178739.0</v>
      </c>
      <c r="J175" s="2">
        <v>29609.0</v>
      </c>
      <c r="K175" s="5">
        <f t="shared" si="1"/>
        <v>6</v>
      </c>
    </row>
    <row r="176">
      <c r="A176" s="1" t="s">
        <v>197</v>
      </c>
      <c r="B176" s="4">
        <v>45795.0</v>
      </c>
      <c r="C176" s="2">
        <v>301019.0</v>
      </c>
      <c r="D176" s="3">
        <v>16.67</v>
      </c>
      <c r="E176" s="1">
        <v>48.0</v>
      </c>
      <c r="F176" s="1" t="s">
        <v>12</v>
      </c>
      <c r="G176" s="1" t="s">
        <v>13</v>
      </c>
      <c r="H176" s="1" t="s">
        <v>14</v>
      </c>
      <c r="I176" s="2">
        <v>50179.0</v>
      </c>
      <c r="J176" s="2">
        <v>5027.0</v>
      </c>
      <c r="K176" s="5">
        <f t="shared" si="1"/>
        <v>5</v>
      </c>
    </row>
    <row r="177">
      <c r="A177" s="1" t="s">
        <v>198</v>
      </c>
      <c r="B177" s="4">
        <v>45813.0</v>
      </c>
      <c r="C177" s="2">
        <v>1559270.0</v>
      </c>
      <c r="D177" s="3">
        <v>14.36</v>
      </c>
      <c r="E177" s="1">
        <v>24.0</v>
      </c>
      <c r="F177" s="1" t="s">
        <v>19</v>
      </c>
      <c r="G177" s="1" t="s">
        <v>35</v>
      </c>
      <c r="H177" s="1" t="s">
        <v>14</v>
      </c>
      <c r="I177" s="2">
        <v>205251.0</v>
      </c>
      <c r="J177" s="2">
        <v>20159.0</v>
      </c>
      <c r="K177" s="5">
        <f t="shared" si="1"/>
        <v>6</v>
      </c>
    </row>
    <row r="178">
      <c r="A178" s="1" t="s">
        <v>199</v>
      </c>
      <c r="B178" s="4">
        <v>45716.0</v>
      </c>
      <c r="C178" s="2">
        <v>2722186.0</v>
      </c>
      <c r="D178" s="3">
        <v>15.27</v>
      </c>
      <c r="E178" s="1">
        <v>24.0</v>
      </c>
      <c r="F178" s="1" t="s">
        <v>16</v>
      </c>
      <c r="G178" s="1" t="s">
        <v>17</v>
      </c>
      <c r="H178" s="1" t="s">
        <v>14</v>
      </c>
      <c r="I178" s="2">
        <v>484957.0</v>
      </c>
      <c r="J178" s="2">
        <v>33527.0</v>
      </c>
      <c r="K178" s="5">
        <f t="shared" si="1"/>
        <v>2</v>
      </c>
    </row>
    <row r="179">
      <c r="A179" s="1" t="s">
        <v>200</v>
      </c>
      <c r="B179" s="4">
        <v>45925.0</v>
      </c>
      <c r="C179" s="2">
        <v>973113.0</v>
      </c>
      <c r="D179" s="3">
        <v>8.9</v>
      </c>
      <c r="E179" s="1">
        <v>12.0</v>
      </c>
      <c r="F179" s="1" t="s">
        <v>16</v>
      </c>
      <c r="G179" s="1" t="s">
        <v>13</v>
      </c>
      <c r="H179" s="1" t="s">
        <v>14</v>
      </c>
      <c r="I179" s="2">
        <v>50520.0</v>
      </c>
      <c r="J179" s="2">
        <v>15868.0</v>
      </c>
      <c r="K179" s="5">
        <f t="shared" si="1"/>
        <v>9</v>
      </c>
    </row>
    <row r="180">
      <c r="A180" s="1" t="s">
        <v>201</v>
      </c>
      <c r="B180" s="4">
        <v>45808.0</v>
      </c>
      <c r="C180" s="2">
        <v>449919.0</v>
      </c>
      <c r="D180" s="3">
        <v>17.57</v>
      </c>
      <c r="E180" s="1">
        <v>36.0</v>
      </c>
      <c r="F180" s="1" t="s">
        <v>16</v>
      </c>
      <c r="G180" s="1" t="s">
        <v>13</v>
      </c>
      <c r="H180" s="1" t="s">
        <v>54</v>
      </c>
      <c r="I180" s="2">
        <v>72463.0</v>
      </c>
      <c r="J180" s="2">
        <v>8645.0</v>
      </c>
      <c r="K180" s="5">
        <f t="shared" si="1"/>
        <v>5</v>
      </c>
    </row>
    <row r="181">
      <c r="A181" s="1" t="s">
        <v>202</v>
      </c>
      <c r="B181" s="4">
        <v>46030.0</v>
      </c>
      <c r="C181" s="2">
        <v>2500109.0</v>
      </c>
      <c r="D181" s="3">
        <v>9.52</v>
      </c>
      <c r="E181" s="1">
        <v>48.0</v>
      </c>
      <c r="F181" s="1" t="s">
        <v>27</v>
      </c>
      <c r="G181" s="1" t="s">
        <v>35</v>
      </c>
      <c r="H181" s="1" t="s">
        <v>14</v>
      </c>
      <c r="I181" s="2">
        <v>79336.0</v>
      </c>
      <c r="J181" s="2">
        <v>30727.0</v>
      </c>
      <c r="K181" s="5">
        <f t="shared" si="1"/>
        <v>1</v>
      </c>
    </row>
    <row r="182">
      <c r="A182" s="1" t="s">
        <v>203</v>
      </c>
      <c r="B182" s="4">
        <v>45928.0</v>
      </c>
      <c r="C182" s="2">
        <v>744677.0</v>
      </c>
      <c r="D182" s="3">
        <v>11.35</v>
      </c>
      <c r="E182" s="1">
        <v>60.0</v>
      </c>
      <c r="F182" s="1" t="s">
        <v>12</v>
      </c>
      <c r="G182" s="1" t="s">
        <v>13</v>
      </c>
      <c r="H182" s="1" t="s">
        <v>14</v>
      </c>
      <c r="I182" s="2">
        <v>49303.0</v>
      </c>
      <c r="J182" s="2">
        <v>12661.0</v>
      </c>
      <c r="K182" s="5">
        <f t="shared" si="1"/>
        <v>9</v>
      </c>
    </row>
    <row r="183">
      <c r="A183" s="1" t="s">
        <v>204</v>
      </c>
      <c r="B183" s="4">
        <v>45699.0</v>
      </c>
      <c r="C183" s="2">
        <v>1992407.0</v>
      </c>
      <c r="D183" s="3">
        <v>17.1</v>
      </c>
      <c r="E183" s="1">
        <v>24.0</v>
      </c>
      <c r="F183" s="1" t="s">
        <v>16</v>
      </c>
      <c r="G183" s="1" t="s">
        <v>22</v>
      </c>
      <c r="H183" s="1" t="s">
        <v>14</v>
      </c>
      <c r="I183" s="2">
        <v>425876.0</v>
      </c>
      <c r="J183" s="2">
        <v>30270.0</v>
      </c>
      <c r="K183" s="5">
        <f t="shared" si="1"/>
        <v>2</v>
      </c>
    </row>
    <row r="184">
      <c r="A184" s="1" t="s">
        <v>205</v>
      </c>
      <c r="B184" s="4">
        <v>45872.0</v>
      </c>
      <c r="C184" s="2">
        <v>1075696.0</v>
      </c>
      <c r="D184" s="3">
        <v>13.48</v>
      </c>
      <c r="E184" s="1">
        <v>24.0</v>
      </c>
      <c r="F184" s="1" t="s">
        <v>19</v>
      </c>
      <c r="G184" s="1" t="s">
        <v>20</v>
      </c>
      <c r="H184" s="1" t="s">
        <v>14</v>
      </c>
      <c r="I184" s="2">
        <v>108752.0</v>
      </c>
      <c r="J184" s="2">
        <v>16597.0</v>
      </c>
      <c r="K184" s="5">
        <f t="shared" si="1"/>
        <v>8</v>
      </c>
    </row>
    <row r="185">
      <c r="A185" s="1" t="s">
        <v>206</v>
      </c>
      <c r="B185" s="4">
        <v>45744.0</v>
      </c>
      <c r="C185" s="2">
        <v>1240638.0</v>
      </c>
      <c r="D185" s="3">
        <v>14.13</v>
      </c>
      <c r="E185" s="1">
        <v>12.0</v>
      </c>
      <c r="F185" s="1" t="s">
        <v>19</v>
      </c>
      <c r="G185" s="1" t="s">
        <v>17</v>
      </c>
      <c r="H185" s="1" t="s">
        <v>14</v>
      </c>
      <c r="I185" s="2">
        <v>175302.0</v>
      </c>
      <c r="J185" s="2">
        <v>23689.0</v>
      </c>
      <c r="K185" s="5">
        <f t="shared" si="1"/>
        <v>3</v>
      </c>
    </row>
    <row r="186">
      <c r="A186" s="1" t="s">
        <v>207</v>
      </c>
      <c r="B186" s="4">
        <v>45893.0</v>
      </c>
      <c r="C186" s="2">
        <v>2836689.0</v>
      </c>
      <c r="D186" s="3">
        <v>12.88</v>
      </c>
      <c r="E186" s="1">
        <v>48.0</v>
      </c>
      <c r="F186" s="1" t="s">
        <v>27</v>
      </c>
      <c r="G186" s="1" t="s">
        <v>20</v>
      </c>
      <c r="H186" s="1" t="s">
        <v>25</v>
      </c>
      <c r="I186" s="2">
        <v>243577.0</v>
      </c>
      <c r="J186" s="2">
        <v>31765.0</v>
      </c>
      <c r="K186" s="5">
        <f t="shared" si="1"/>
        <v>8</v>
      </c>
    </row>
    <row r="187">
      <c r="A187" s="1" t="s">
        <v>208</v>
      </c>
      <c r="B187" s="4">
        <v>45885.0</v>
      </c>
      <c r="C187" s="2">
        <v>252511.0</v>
      </c>
      <c r="D187" s="3">
        <v>12.26</v>
      </c>
      <c r="E187" s="1">
        <v>12.0</v>
      </c>
      <c r="F187" s="1" t="s">
        <v>12</v>
      </c>
      <c r="G187" s="1" t="s">
        <v>17</v>
      </c>
      <c r="H187" s="1" t="s">
        <v>14</v>
      </c>
      <c r="I187" s="2">
        <v>23218.0</v>
      </c>
      <c r="J187" s="2">
        <v>2794.0</v>
      </c>
      <c r="K187" s="5">
        <f t="shared" si="1"/>
        <v>8</v>
      </c>
    </row>
    <row r="188">
      <c r="A188" s="1" t="s">
        <v>209</v>
      </c>
      <c r="B188" s="4">
        <v>46064.0</v>
      </c>
      <c r="C188" s="2">
        <v>129419.0</v>
      </c>
      <c r="D188" s="3">
        <v>17.97</v>
      </c>
      <c r="E188" s="1">
        <v>24.0</v>
      </c>
      <c r="F188" s="1" t="s">
        <v>19</v>
      </c>
      <c r="G188" s="1" t="s">
        <v>35</v>
      </c>
      <c r="H188" s="1" t="s">
        <v>14</v>
      </c>
      <c r="I188" s="2">
        <v>5814.0</v>
      </c>
      <c r="J188" s="2">
        <v>2509.0</v>
      </c>
      <c r="K188" s="5">
        <f t="shared" si="1"/>
        <v>2</v>
      </c>
    </row>
    <row r="189">
      <c r="A189" s="1" t="s">
        <v>210</v>
      </c>
      <c r="B189" s="4">
        <v>45773.0</v>
      </c>
      <c r="C189" s="2">
        <v>2847344.0</v>
      </c>
      <c r="D189" s="3">
        <v>14.47</v>
      </c>
      <c r="E189" s="1">
        <v>60.0</v>
      </c>
      <c r="F189" s="1" t="s">
        <v>27</v>
      </c>
      <c r="G189" s="1" t="s">
        <v>17</v>
      </c>
      <c r="H189" s="1" t="s">
        <v>14</v>
      </c>
      <c r="I189" s="2">
        <v>412010.0</v>
      </c>
      <c r="J189" s="2">
        <v>30551.0</v>
      </c>
      <c r="K189" s="5">
        <f t="shared" si="1"/>
        <v>4</v>
      </c>
    </row>
    <row r="190">
      <c r="A190" s="1" t="s">
        <v>211</v>
      </c>
      <c r="B190" s="4">
        <v>45796.0</v>
      </c>
      <c r="C190" s="2">
        <v>1019207.0</v>
      </c>
      <c r="D190" s="3">
        <v>11.26</v>
      </c>
      <c r="E190" s="1">
        <v>36.0</v>
      </c>
      <c r="F190" s="1" t="s">
        <v>12</v>
      </c>
      <c r="G190" s="1" t="s">
        <v>17</v>
      </c>
      <c r="H190" s="1" t="s">
        <v>14</v>
      </c>
      <c r="I190" s="2">
        <v>114762.0</v>
      </c>
      <c r="J190" s="2">
        <v>16973.0</v>
      </c>
      <c r="K190" s="5">
        <f t="shared" si="1"/>
        <v>5</v>
      </c>
    </row>
    <row r="191">
      <c r="A191" s="1" t="s">
        <v>212</v>
      </c>
      <c r="B191" s="4">
        <v>45732.0</v>
      </c>
      <c r="C191" s="2">
        <v>92980.0</v>
      </c>
      <c r="D191" s="3">
        <v>18.4</v>
      </c>
      <c r="E191" s="1">
        <v>36.0</v>
      </c>
      <c r="F191" s="1" t="s">
        <v>19</v>
      </c>
      <c r="G191" s="1" t="s">
        <v>22</v>
      </c>
      <c r="H191" s="1" t="s">
        <v>14</v>
      </c>
      <c r="I191" s="2">
        <v>19959.0</v>
      </c>
      <c r="J191" s="2">
        <v>1250.0</v>
      </c>
      <c r="K191" s="5">
        <f t="shared" si="1"/>
        <v>3</v>
      </c>
    </row>
    <row r="192">
      <c r="A192" s="1" t="s">
        <v>213</v>
      </c>
      <c r="B192" s="4">
        <v>46077.0</v>
      </c>
      <c r="C192" s="2">
        <v>1627864.0</v>
      </c>
      <c r="D192" s="3">
        <v>16.73</v>
      </c>
      <c r="E192" s="1">
        <v>48.0</v>
      </c>
      <c r="F192" s="1" t="s">
        <v>27</v>
      </c>
      <c r="G192" s="1" t="s">
        <v>22</v>
      </c>
      <c r="H192" s="1" t="s">
        <v>14</v>
      </c>
      <c r="I192" s="2">
        <v>45390.0</v>
      </c>
      <c r="J192" s="2">
        <v>26427.0</v>
      </c>
      <c r="K192" s="5">
        <f t="shared" si="1"/>
        <v>2</v>
      </c>
    </row>
    <row r="193">
      <c r="A193" s="1" t="s">
        <v>214</v>
      </c>
      <c r="B193" s="4">
        <v>45710.0</v>
      </c>
      <c r="C193" s="2">
        <v>2977242.0</v>
      </c>
      <c r="D193" s="3">
        <v>10.41</v>
      </c>
      <c r="E193" s="1">
        <v>24.0</v>
      </c>
      <c r="F193" s="1" t="s">
        <v>19</v>
      </c>
      <c r="G193" s="1" t="s">
        <v>35</v>
      </c>
      <c r="H193" s="1" t="s">
        <v>14</v>
      </c>
      <c r="I193" s="2">
        <v>387413.0</v>
      </c>
      <c r="J193" s="2">
        <v>54918.0</v>
      </c>
      <c r="K193" s="5">
        <f t="shared" si="1"/>
        <v>2</v>
      </c>
    </row>
    <row r="194">
      <c r="A194" s="1" t="s">
        <v>215</v>
      </c>
      <c r="B194" s="4">
        <v>45933.0</v>
      </c>
      <c r="C194" s="2">
        <v>1677787.0</v>
      </c>
      <c r="D194" s="3">
        <v>11.69</v>
      </c>
      <c r="E194" s="1">
        <v>36.0</v>
      </c>
      <c r="F194" s="1" t="s">
        <v>19</v>
      </c>
      <c r="G194" s="1" t="s">
        <v>20</v>
      </c>
      <c r="H194" s="1" t="s">
        <v>14</v>
      </c>
      <c r="I194" s="2">
        <v>114411.0</v>
      </c>
      <c r="J194" s="2">
        <v>26881.0</v>
      </c>
      <c r="K194" s="5">
        <f t="shared" si="1"/>
        <v>10</v>
      </c>
    </row>
    <row r="195">
      <c r="A195" s="1" t="s">
        <v>216</v>
      </c>
      <c r="B195" s="4">
        <v>46080.0</v>
      </c>
      <c r="C195" s="2">
        <v>923244.0</v>
      </c>
      <c r="D195" s="3">
        <v>17.72</v>
      </c>
      <c r="E195" s="1">
        <v>12.0</v>
      </c>
      <c r="F195" s="1" t="s">
        <v>16</v>
      </c>
      <c r="G195" s="1" t="s">
        <v>13</v>
      </c>
      <c r="H195" s="1" t="s">
        <v>14</v>
      </c>
      <c r="I195" s="2">
        <v>27266.0</v>
      </c>
      <c r="J195" s="2">
        <v>12880.0</v>
      </c>
      <c r="K195" s="5">
        <f t="shared" si="1"/>
        <v>2</v>
      </c>
    </row>
    <row r="196">
      <c r="A196" s="1" t="s">
        <v>217</v>
      </c>
      <c r="B196" s="4">
        <v>45631.0</v>
      </c>
      <c r="C196" s="2">
        <v>1431660.0</v>
      </c>
      <c r="D196" s="3">
        <v>11.27</v>
      </c>
      <c r="E196" s="1">
        <v>60.0</v>
      </c>
      <c r="F196" s="1" t="s">
        <v>12</v>
      </c>
      <c r="G196" s="1" t="s">
        <v>13</v>
      </c>
      <c r="H196" s="1" t="s">
        <v>14</v>
      </c>
      <c r="I196" s="2">
        <v>228576.0</v>
      </c>
      <c r="J196" s="2">
        <v>22933.0</v>
      </c>
      <c r="K196" s="5">
        <f t="shared" si="1"/>
        <v>12</v>
      </c>
    </row>
    <row r="197">
      <c r="A197" s="1" t="s">
        <v>218</v>
      </c>
      <c r="B197" s="4">
        <v>45745.0</v>
      </c>
      <c r="C197" s="2">
        <v>820778.0</v>
      </c>
      <c r="D197" s="3">
        <v>10.87</v>
      </c>
      <c r="E197" s="1">
        <v>24.0</v>
      </c>
      <c r="F197" s="1" t="s">
        <v>16</v>
      </c>
      <c r="G197" s="1" t="s">
        <v>13</v>
      </c>
      <c r="H197" s="1" t="s">
        <v>25</v>
      </c>
      <c r="I197" s="2">
        <v>96653.0</v>
      </c>
      <c r="J197" s="2">
        <v>10718.0</v>
      </c>
      <c r="K197" s="5">
        <f t="shared" si="1"/>
        <v>3</v>
      </c>
    </row>
    <row r="198">
      <c r="A198" s="1" t="s">
        <v>219</v>
      </c>
      <c r="B198" s="4">
        <v>46099.0</v>
      </c>
      <c r="C198" s="2">
        <v>2024958.0</v>
      </c>
      <c r="D198" s="3">
        <v>16.05</v>
      </c>
      <c r="E198" s="1">
        <v>36.0</v>
      </c>
      <c r="F198" s="1" t="s">
        <v>16</v>
      </c>
      <c r="G198" s="1" t="s">
        <v>20</v>
      </c>
      <c r="H198" s="1" t="s">
        <v>14</v>
      </c>
      <c r="I198" s="2">
        <v>54167.0</v>
      </c>
      <c r="J198" s="2">
        <v>25328.0</v>
      </c>
      <c r="K198" s="5">
        <f t="shared" si="1"/>
        <v>3</v>
      </c>
    </row>
    <row r="199">
      <c r="A199" s="1" t="s">
        <v>220</v>
      </c>
      <c r="B199" s="4">
        <v>45899.0</v>
      </c>
      <c r="C199" s="2">
        <v>2962955.0</v>
      </c>
      <c r="D199" s="3">
        <v>9.24</v>
      </c>
      <c r="E199" s="1">
        <v>24.0</v>
      </c>
      <c r="F199" s="1" t="s">
        <v>19</v>
      </c>
      <c r="G199" s="1" t="s">
        <v>22</v>
      </c>
      <c r="H199" s="1" t="s">
        <v>14</v>
      </c>
      <c r="I199" s="2">
        <v>182518.0</v>
      </c>
      <c r="J199" s="2">
        <v>56410.0</v>
      </c>
      <c r="K199" s="5">
        <f t="shared" si="1"/>
        <v>8</v>
      </c>
    </row>
    <row r="200">
      <c r="A200" s="1" t="s">
        <v>221</v>
      </c>
      <c r="B200" s="4">
        <v>45693.0</v>
      </c>
      <c r="C200" s="2">
        <v>2680625.0</v>
      </c>
      <c r="D200" s="3">
        <v>18.08</v>
      </c>
      <c r="E200" s="1">
        <v>12.0</v>
      </c>
      <c r="F200" s="1" t="s">
        <v>19</v>
      </c>
      <c r="G200" s="1" t="s">
        <v>13</v>
      </c>
      <c r="H200" s="1" t="s">
        <v>14</v>
      </c>
      <c r="I200" s="2">
        <v>484656.0</v>
      </c>
      <c r="J200" s="2">
        <v>33488.0</v>
      </c>
      <c r="K200" s="5">
        <f t="shared" si="1"/>
        <v>2</v>
      </c>
    </row>
    <row r="201">
      <c r="A201" s="1" t="s">
        <v>222</v>
      </c>
      <c r="B201" s="4">
        <v>45867.0</v>
      </c>
      <c r="C201" s="2">
        <v>1704706.0</v>
      </c>
      <c r="D201" s="3">
        <v>9.01</v>
      </c>
      <c r="E201" s="1">
        <v>24.0</v>
      </c>
      <c r="F201" s="1" t="s">
        <v>12</v>
      </c>
      <c r="G201" s="1" t="s">
        <v>22</v>
      </c>
      <c r="H201" s="1" t="s">
        <v>14</v>
      </c>
      <c r="I201" s="2">
        <v>115195.0</v>
      </c>
      <c r="J201" s="2">
        <v>24435.0</v>
      </c>
      <c r="K201" s="5">
        <f t="shared" si="1"/>
        <v>7</v>
      </c>
    </row>
    <row r="202">
      <c r="A202" s="1" t="s">
        <v>223</v>
      </c>
      <c r="B202" s="4">
        <v>45959.0</v>
      </c>
      <c r="C202" s="2">
        <v>853877.0</v>
      </c>
      <c r="D202" s="3">
        <v>18.14</v>
      </c>
      <c r="E202" s="1">
        <v>48.0</v>
      </c>
      <c r="F202" s="1" t="s">
        <v>27</v>
      </c>
      <c r="G202" s="1" t="s">
        <v>17</v>
      </c>
      <c r="H202" s="1" t="s">
        <v>14</v>
      </c>
      <c r="I202" s="2">
        <v>77446.0</v>
      </c>
      <c r="J202" s="2">
        <v>9810.0</v>
      </c>
      <c r="K202" s="5">
        <f t="shared" si="1"/>
        <v>10</v>
      </c>
    </row>
    <row r="203">
      <c r="A203" s="1" t="s">
        <v>224</v>
      </c>
      <c r="B203" s="4">
        <v>45621.0</v>
      </c>
      <c r="C203" s="2">
        <v>1639317.0</v>
      </c>
      <c r="D203" s="3">
        <v>9.68</v>
      </c>
      <c r="E203" s="1">
        <v>36.0</v>
      </c>
      <c r="F203" s="1" t="s">
        <v>19</v>
      </c>
      <c r="G203" s="1" t="s">
        <v>35</v>
      </c>
      <c r="H203" s="1" t="s">
        <v>25</v>
      </c>
      <c r="I203" s="2">
        <v>238028.0</v>
      </c>
      <c r="J203" s="2">
        <v>20310.0</v>
      </c>
      <c r="K203" s="5">
        <f t="shared" si="1"/>
        <v>11</v>
      </c>
    </row>
    <row r="204">
      <c r="A204" s="1" t="s">
        <v>225</v>
      </c>
      <c r="B204" s="4">
        <v>46002.0</v>
      </c>
      <c r="C204" s="2">
        <v>979655.0</v>
      </c>
      <c r="D204" s="3">
        <v>9.11</v>
      </c>
      <c r="E204" s="1">
        <v>48.0</v>
      </c>
      <c r="F204" s="1" t="s">
        <v>12</v>
      </c>
      <c r="G204" s="1" t="s">
        <v>13</v>
      </c>
      <c r="H204" s="1" t="s">
        <v>14</v>
      </c>
      <c r="I204" s="2">
        <v>37186.0</v>
      </c>
      <c r="J204" s="2">
        <v>9906.0</v>
      </c>
      <c r="K204" s="5">
        <f t="shared" si="1"/>
        <v>12</v>
      </c>
    </row>
    <row r="205">
      <c r="A205" s="1" t="s">
        <v>226</v>
      </c>
      <c r="B205" s="4">
        <v>45844.0</v>
      </c>
      <c r="C205" s="2">
        <v>842142.0</v>
      </c>
      <c r="D205" s="3">
        <v>15.12</v>
      </c>
      <c r="E205" s="1">
        <v>36.0</v>
      </c>
      <c r="F205" s="1" t="s">
        <v>19</v>
      </c>
      <c r="G205" s="1" t="s">
        <v>17</v>
      </c>
      <c r="H205" s="1" t="s">
        <v>25</v>
      </c>
      <c r="I205" s="2">
        <v>106109.0</v>
      </c>
      <c r="J205" s="2">
        <v>14993.0</v>
      </c>
      <c r="K205" s="5">
        <f t="shared" si="1"/>
        <v>7</v>
      </c>
    </row>
    <row r="206">
      <c r="A206" s="1" t="s">
        <v>227</v>
      </c>
      <c r="B206" s="4">
        <v>46069.0</v>
      </c>
      <c r="C206" s="2">
        <v>2560332.0</v>
      </c>
      <c r="D206" s="3">
        <v>9.71</v>
      </c>
      <c r="E206" s="1">
        <v>60.0</v>
      </c>
      <c r="F206" s="1" t="s">
        <v>27</v>
      </c>
      <c r="G206" s="1" t="s">
        <v>22</v>
      </c>
      <c r="H206" s="1" t="s">
        <v>14</v>
      </c>
      <c r="I206" s="2">
        <v>62152.0</v>
      </c>
      <c r="J206" s="2">
        <v>41052.0</v>
      </c>
      <c r="K206" s="5">
        <f t="shared" si="1"/>
        <v>2</v>
      </c>
    </row>
    <row r="207">
      <c r="A207" s="1" t="s">
        <v>228</v>
      </c>
      <c r="B207" s="4">
        <v>46066.0</v>
      </c>
      <c r="C207" s="2">
        <v>64935.0</v>
      </c>
      <c r="D207" s="3">
        <v>13.89</v>
      </c>
      <c r="E207" s="1">
        <v>48.0</v>
      </c>
      <c r="F207" s="1" t="s">
        <v>16</v>
      </c>
      <c r="G207" s="1" t="s">
        <v>20</v>
      </c>
      <c r="H207" s="1" t="s">
        <v>25</v>
      </c>
      <c r="I207" s="2">
        <v>2254.0</v>
      </c>
      <c r="J207" s="2">
        <v>829.0</v>
      </c>
      <c r="K207" s="5">
        <f t="shared" si="1"/>
        <v>2</v>
      </c>
    </row>
    <row r="208">
      <c r="A208" s="1" t="s">
        <v>229</v>
      </c>
      <c r="B208" s="4">
        <v>45663.0</v>
      </c>
      <c r="C208" s="2">
        <v>103778.0</v>
      </c>
      <c r="D208" s="3">
        <v>15.71</v>
      </c>
      <c r="E208" s="1">
        <v>12.0</v>
      </c>
      <c r="F208" s="1" t="s">
        <v>19</v>
      </c>
      <c r="G208" s="1" t="s">
        <v>13</v>
      </c>
      <c r="H208" s="1" t="s">
        <v>14</v>
      </c>
      <c r="I208" s="2">
        <v>16303.0</v>
      </c>
      <c r="J208" s="2">
        <v>1370.0</v>
      </c>
      <c r="K208" s="5">
        <f t="shared" si="1"/>
        <v>1</v>
      </c>
    </row>
    <row r="209">
      <c r="A209" s="1" t="s">
        <v>230</v>
      </c>
      <c r="B209" s="4">
        <v>45780.0</v>
      </c>
      <c r="C209" s="2">
        <v>2835001.0</v>
      </c>
      <c r="D209" s="3">
        <v>14.99</v>
      </c>
      <c r="E209" s="1">
        <v>48.0</v>
      </c>
      <c r="F209" s="1" t="s">
        <v>19</v>
      </c>
      <c r="G209" s="1" t="s">
        <v>35</v>
      </c>
      <c r="H209" s="1" t="s">
        <v>14</v>
      </c>
      <c r="I209" s="2">
        <v>424966.0</v>
      </c>
      <c r="J209" s="2">
        <v>29131.0</v>
      </c>
      <c r="K209" s="5">
        <f t="shared" si="1"/>
        <v>5</v>
      </c>
    </row>
    <row r="210">
      <c r="A210" s="1" t="s">
        <v>231</v>
      </c>
      <c r="B210" s="4">
        <v>45753.0</v>
      </c>
      <c r="C210" s="2">
        <v>2301676.0</v>
      </c>
      <c r="D210" s="3">
        <v>18.31</v>
      </c>
      <c r="E210" s="1">
        <v>12.0</v>
      </c>
      <c r="F210" s="1" t="s">
        <v>12</v>
      </c>
      <c r="G210" s="1" t="s">
        <v>20</v>
      </c>
      <c r="H210" s="1" t="s">
        <v>14</v>
      </c>
      <c r="I210" s="2">
        <v>421436.0</v>
      </c>
      <c r="J210" s="2">
        <v>25577.0</v>
      </c>
      <c r="K210" s="5">
        <f t="shared" si="1"/>
        <v>4</v>
      </c>
    </row>
    <row r="211">
      <c r="A211" s="1" t="s">
        <v>232</v>
      </c>
      <c r="B211" s="4">
        <v>45777.0</v>
      </c>
      <c r="C211" s="2">
        <v>1952635.0</v>
      </c>
      <c r="D211" s="3">
        <v>10.12</v>
      </c>
      <c r="E211" s="1">
        <v>48.0</v>
      </c>
      <c r="F211" s="1" t="s">
        <v>19</v>
      </c>
      <c r="G211" s="1" t="s">
        <v>17</v>
      </c>
      <c r="H211" s="1" t="s">
        <v>54</v>
      </c>
      <c r="I211" s="2">
        <v>197606.0</v>
      </c>
      <c r="J211" s="2">
        <v>22571.0</v>
      </c>
      <c r="K211" s="5">
        <f t="shared" si="1"/>
        <v>4</v>
      </c>
    </row>
    <row r="212">
      <c r="A212" s="1" t="s">
        <v>233</v>
      </c>
      <c r="B212" s="4">
        <v>45988.0</v>
      </c>
      <c r="C212" s="2">
        <v>1431891.0</v>
      </c>
      <c r="D212" s="3">
        <v>12.19</v>
      </c>
      <c r="E212" s="1">
        <v>60.0</v>
      </c>
      <c r="F212" s="1" t="s">
        <v>12</v>
      </c>
      <c r="G212" s="1" t="s">
        <v>20</v>
      </c>
      <c r="H212" s="1" t="s">
        <v>25</v>
      </c>
      <c r="I212" s="2">
        <v>72728.0</v>
      </c>
      <c r="J212" s="2">
        <v>19709.0</v>
      </c>
      <c r="K212" s="5">
        <f t="shared" si="1"/>
        <v>11</v>
      </c>
    </row>
    <row r="213">
      <c r="A213" s="1" t="s">
        <v>234</v>
      </c>
      <c r="B213" s="4">
        <v>46037.0</v>
      </c>
      <c r="C213" s="2">
        <v>1121668.0</v>
      </c>
      <c r="D213" s="3">
        <v>17.93</v>
      </c>
      <c r="E213" s="1">
        <v>36.0</v>
      </c>
      <c r="F213" s="1" t="s">
        <v>19</v>
      </c>
      <c r="G213" s="1" t="s">
        <v>17</v>
      </c>
      <c r="H213" s="1" t="s">
        <v>14</v>
      </c>
      <c r="I213" s="2">
        <v>67038.0</v>
      </c>
      <c r="J213" s="2">
        <v>13763.0</v>
      </c>
      <c r="K213" s="5">
        <f t="shared" si="1"/>
        <v>1</v>
      </c>
    </row>
    <row r="214">
      <c r="A214" s="1" t="s">
        <v>235</v>
      </c>
      <c r="B214" s="4">
        <v>45676.0</v>
      </c>
      <c r="C214" s="2">
        <v>2795636.0</v>
      </c>
      <c r="D214" s="3">
        <v>9.46</v>
      </c>
      <c r="E214" s="1">
        <v>12.0</v>
      </c>
      <c r="F214" s="1" t="s">
        <v>19</v>
      </c>
      <c r="G214" s="1" t="s">
        <v>13</v>
      </c>
      <c r="H214" s="1" t="s">
        <v>14</v>
      </c>
      <c r="I214" s="2">
        <v>264467.0</v>
      </c>
      <c r="J214" s="2">
        <v>46667.0</v>
      </c>
      <c r="K214" s="5">
        <f t="shared" si="1"/>
        <v>1</v>
      </c>
    </row>
    <row r="215">
      <c r="A215" s="1" t="s">
        <v>236</v>
      </c>
      <c r="B215" s="4">
        <v>45946.0</v>
      </c>
      <c r="C215" s="2">
        <v>1358981.0</v>
      </c>
      <c r="D215" s="3">
        <v>9.27</v>
      </c>
      <c r="E215" s="1">
        <v>48.0</v>
      </c>
      <c r="F215" s="1" t="s">
        <v>19</v>
      </c>
      <c r="G215" s="1" t="s">
        <v>20</v>
      </c>
      <c r="H215" s="1" t="s">
        <v>14</v>
      </c>
      <c r="I215" s="2">
        <v>73486.0</v>
      </c>
      <c r="J215" s="2">
        <v>23374.0</v>
      </c>
      <c r="K215" s="5">
        <f t="shared" si="1"/>
        <v>10</v>
      </c>
    </row>
    <row r="216">
      <c r="A216" s="1" t="s">
        <v>237</v>
      </c>
      <c r="B216" s="4">
        <v>45664.0</v>
      </c>
      <c r="C216" s="2">
        <v>467476.0</v>
      </c>
      <c r="D216" s="3">
        <v>10.12</v>
      </c>
      <c r="E216" s="1">
        <v>60.0</v>
      </c>
      <c r="F216" s="1" t="s">
        <v>12</v>
      </c>
      <c r="G216" s="1" t="s">
        <v>22</v>
      </c>
      <c r="H216" s="1" t="s">
        <v>25</v>
      </c>
      <c r="I216" s="2">
        <v>63078.0</v>
      </c>
      <c r="J216" s="2">
        <v>8244.0</v>
      </c>
      <c r="K216" s="5">
        <f t="shared" si="1"/>
        <v>1</v>
      </c>
    </row>
    <row r="217">
      <c r="A217" s="1" t="s">
        <v>238</v>
      </c>
      <c r="B217" s="4">
        <v>45992.0</v>
      </c>
      <c r="C217" s="2">
        <v>365823.0</v>
      </c>
      <c r="D217" s="3">
        <v>8.59</v>
      </c>
      <c r="E217" s="1">
        <v>24.0</v>
      </c>
      <c r="F217" s="1" t="s">
        <v>16</v>
      </c>
      <c r="G217" s="1" t="s">
        <v>22</v>
      </c>
      <c r="H217" s="1" t="s">
        <v>25</v>
      </c>
      <c r="I217" s="2">
        <v>13093.0</v>
      </c>
      <c r="J217" s="2">
        <v>4896.0</v>
      </c>
      <c r="K217" s="5">
        <f t="shared" si="1"/>
        <v>12</v>
      </c>
    </row>
    <row r="218">
      <c r="A218" s="1" t="s">
        <v>239</v>
      </c>
      <c r="B218" s="4">
        <v>45828.0</v>
      </c>
      <c r="C218" s="2">
        <v>2126584.0</v>
      </c>
      <c r="D218" s="3">
        <v>18.22</v>
      </c>
      <c r="E218" s="1">
        <v>48.0</v>
      </c>
      <c r="F218" s="1" t="s">
        <v>16</v>
      </c>
      <c r="G218" s="1" t="s">
        <v>13</v>
      </c>
      <c r="H218" s="1" t="s">
        <v>14</v>
      </c>
      <c r="I218" s="2">
        <v>355174.0</v>
      </c>
      <c r="J218" s="2">
        <v>40963.0</v>
      </c>
      <c r="K218" s="5">
        <f t="shared" si="1"/>
        <v>6</v>
      </c>
    </row>
    <row r="219">
      <c r="A219" s="1" t="s">
        <v>240</v>
      </c>
      <c r="B219" s="4">
        <v>45977.0</v>
      </c>
      <c r="C219" s="2">
        <v>2405743.0</v>
      </c>
      <c r="D219" s="3">
        <v>15.18</v>
      </c>
      <c r="E219" s="1">
        <v>36.0</v>
      </c>
      <c r="F219" s="1" t="s">
        <v>27</v>
      </c>
      <c r="G219" s="1" t="s">
        <v>35</v>
      </c>
      <c r="H219" s="1" t="s">
        <v>14</v>
      </c>
      <c r="I219" s="2">
        <v>182595.0</v>
      </c>
      <c r="J219" s="2">
        <v>37654.0</v>
      </c>
      <c r="K219" s="5">
        <f t="shared" si="1"/>
        <v>11</v>
      </c>
    </row>
    <row r="220">
      <c r="A220" s="1" t="s">
        <v>241</v>
      </c>
      <c r="B220" s="4">
        <v>45966.0</v>
      </c>
      <c r="C220" s="2">
        <v>916822.0</v>
      </c>
      <c r="D220" s="3">
        <v>11.47</v>
      </c>
      <c r="E220" s="1">
        <v>12.0</v>
      </c>
      <c r="F220" s="1" t="s">
        <v>19</v>
      </c>
      <c r="G220" s="1" t="s">
        <v>13</v>
      </c>
      <c r="H220" s="1" t="s">
        <v>14</v>
      </c>
      <c r="I220" s="2">
        <v>52579.0</v>
      </c>
      <c r="J220" s="2">
        <v>15372.0</v>
      </c>
      <c r="K220" s="5">
        <f t="shared" si="1"/>
        <v>11</v>
      </c>
    </row>
    <row r="221">
      <c r="A221" s="1" t="s">
        <v>242</v>
      </c>
      <c r="B221" s="4">
        <v>45811.0</v>
      </c>
      <c r="C221" s="2">
        <v>1063008.0</v>
      </c>
      <c r="D221" s="3">
        <v>17.88</v>
      </c>
      <c r="E221" s="1">
        <v>48.0</v>
      </c>
      <c r="F221" s="1" t="s">
        <v>16</v>
      </c>
      <c r="G221" s="1" t="s">
        <v>22</v>
      </c>
      <c r="H221" s="1" t="s">
        <v>14</v>
      </c>
      <c r="I221" s="2">
        <v>174227.0</v>
      </c>
      <c r="J221" s="2">
        <v>16761.0</v>
      </c>
      <c r="K221" s="5">
        <f t="shared" si="1"/>
        <v>6</v>
      </c>
    </row>
    <row r="222">
      <c r="A222" s="1" t="s">
        <v>243</v>
      </c>
      <c r="B222" s="4">
        <v>45669.0</v>
      </c>
      <c r="C222" s="2">
        <v>1270503.0</v>
      </c>
      <c r="D222" s="3">
        <v>12.12</v>
      </c>
      <c r="E222" s="1">
        <v>24.0</v>
      </c>
      <c r="F222" s="1" t="s">
        <v>27</v>
      </c>
      <c r="G222" s="1" t="s">
        <v>17</v>
      </c>
      <c r="H222" s="1" t="s">
        <v>14</v>
      </c>
      <c r="I222" s="2">
        <v>205313.0</v>
      </c>
      <c r="J222" s="2">
        <v>20396.0</v>
      </c>
      <c r="K222" s="5">
        <f t="shared" si="1"/>
        <v>1</v>
      </c>
    </row>
    <row r="223">
      <c r="A223" s="1" t="s">
        <v>244</v>
      </c>
      <c r="B223" s="4">
        <v>45983.0</v>
      </c>
      <c r="C223" s="2">
        <v>1151506.0</v>
      </c>
      <c r="D223" s="3">
        <v>9.44</v>
      </c>
      <c r="E223" s="1">
        <v>36.0</v>
      </c>
      <c r="F223" s="1" t="s">
        <v>12</v>
      </c>
      <c r="G223" s="1" t="s">
        <v>13</v>
      </c>
      <c r="H223" s="1" t="s">
        <v>14</v>
      </c>
      <c r="I223" s="2">
        <v>45292.0</v>
      </c>
      <c r="J223" s="2">
        <v>18738.0</v>
      </c>
      <c r="K223" s="5">
        <f t="shared" si="1"/>
        <v>11</v>
      </c>
    </row>
    <row r="224">
      <c r="A224" s="1" t="s">
        <v>245</v>
      </c>
      <c r="B224" s="4">
        <v>46009.0</v>
      </c>
      <c r="C224" s="2">
        <v>1355579.0</v>
      </c>
      <c r="D224" s="3">
        <v>16.83</v>
      </c>
      <c r="E224" s="1">
        <v>12.0</v>
      </c>
      <c r="F224" s="1" t="s">
        <v>12</v>
      </c>
      <c r="G224" s="1" t="s">
        <v>35</v>
      </c>
      <c r="H224" s="1" t="s">
        <v>14</v>
      </c>
      <c r="I224" s="2">
        <v>95059.0</v>
      </c>
      <c r="J224" s="2">
        <v>16553.0</v>
      </c>
      <c r="K224" s="5">
        <f t="shared" si="1"/>
        <v>12</v>
      </c>
    </row>
    <row r="225">
      <c r="A225" s="1" t="s">
        <v>246</v>
      </c>
      <c r="B225" s="4">
        <v>46019.0</v>
      </c>
      <c r="C225" s="2">
        <v>1018905.0</v>
      </c>
      <c r="D225" s="3">
        <v>16.21</v>
      </c>
      <c r="E225" s="1">
        <v>60.0</v>
      </c>
      <c r="F225" s="1" t="s">
        <v>12</v>
      </c>
      <c r="G225" s="1" t="s">
        <v>35</v>
      </c>
      <c r="H225" s="1" t="s">
        <v>14</v>
      </c>
      <c r="I225" s="2">
        <v>55054.0</v>
      </c>
      <c r="J225" s="2">
        <v>14790.0</v>
      </c>
      <c r="K225" s="5">
        <f t="shared" si="1"/>
        <v>12</v>
      </c>
    </row>
    <row r="226">
      <c r="A226" s="1" t="s">
        <v>247</v>
      </c>
      <c r="B226" s="4">
        <v>45955.0</v>
      </c>
      <c r="C226" s="2">
        <v>570718.0</v>
      </c>
      <c r="D226" s="3">
        <v>11.27</v>
      </c>
      <c r="E226" s="1">
        <v>36.0</v>
      </c>
      <c r="F226" s="1" t="s">
        <v>19</v>
      </c>
      <c r="G226" s="1" t="s">
        <v>22</v>
      </c>
      <c r="H226" s="1" t="s">
        <v>25</v>
      </c>
      <c r="I226" s="2">
        <v>32159.0</v>
      </c>
      <c r="J226" s="2">
        <v>8553.0</v>
      </c>
      <c r="K226" s="5">
        <f t="shared" si="1"/>
        <v>10</v>
      </c>
    </row>
    <row r="227">
      <c r="A227" s="1" t="s">
        <v>248</v>
      </c>
      <c r="B227" s="4">
        <v>45684.0</v>
      </c>
      <c r="C227" s="2">
        <v>2433902.0</v>
      </c>
      <c r="D227" s="3">
        <v>14.92</v>
      </c>
      <c r="E227" s="1">
        <v>48.0</v>
      </c>
      <c r="F227" s="1" t="s">
        <v>16</v>
      </c>
      <c r="G227" s="1" t="s">
        <v>35</v>
      </c>
      <c r="H227" s="1" t="s">
        <v>14</v>
      </c>
      <c r="I227" s="2">
        <v>453922.0</v>
      </c>
      <c r="J227" s="2">
        <v>36073.0</v>
      </c>
      <c r="K227" s="5">
        <f t="shared" si="1"/>
        <v>1</v>
      </c>
    </row>
    <row r="228">
      <c r="A228" s="1" t="s">
        <v>249</v>
      </c>
      <c r="B228" s="4">
        <v>45765.0</v>
      </c>
      <c r="C228" s="2">
        <v>684675.0</v>
      </c>
      <c r="D228" s="3">
        <v>13.07</v>
      </c>
      <c r="E228" s="1">
        <v>24.0</v>
      </c>
      <c r="F228" s="1" t="s">
        <v>19</v>
      </c>
      <c r="G228" s="1" t="s">
        <v>17</v>
      </c>
      <c r="H228" s="1" t="s">
        <v>14</v>
      </c>
      <c r="I228" s="2">
        <v>96944.0</v>
      </c>
      <c r="J228" s="2">
        <v>12849.0</v>
      </c>
      <c r="K228" s="5">
        <f t="shared" si="1"/>
        <v>4</v>
      </c>
    </row>
    <row r="229">
      <c r="A229" s="1" t="s">
        <v>250</v>
      </c>
      <c r="B229" s="4">
        <v>45990.0</v>
      </c>
      <c r="C229" s="2">
        <v>979235.0</v>
      </c>
      <c r="D229" s="3">
        <v>11.52</v>
      </c>
      <c r="E229" s="1">
        <v>48.0</v>
      </c>
      <c r="F229" s="1" t="s">
        <v>12</v>
      </c>
      <c r="G229" s="1" t="s">
        <v>20</v>
      </c>
      <c r="H229" s="1" t="s">
        <v>25</v>
      </c>
      <c r="I229" s="2">
        <v>47003.0</v>
      </c>
      <c r="J229" s="2">
        <v>11245.0</v>
      </c>
      <c r="K229" s="5">
        <f t="shared" si="1"/>
        <v>11</v>
      </c>
    </row>
    <row r="230">
      <c r="A230" s="1" t="s">
        <v>251</v>
      </c>
      <c r="B230" s="4">
        <v>45933.0</v>
      </c>
      <c r="C230" s="2">
        <v>1213157.0</v>
      </c>
      <c r="D230" s="3">
        <v>15.7</v>
      </c>
      <c r="E230" s="1">
        <v>48.0</v>
      </c>
      <c r="F230" s="1" t="s">
        <v>27</v>
      </c>
      <c r="G230" s="1" t="s">
        <v>20</v>
      </c>
      <c r="H230" s="1" t="s">
        <v>14</v>
      </c>
      <c r="I230" s="2">
        <v>111104.0</v>
      </c>
      <c r="J230" s="2">
        <v>23932.0</v>
      </c>
      <c r="K230" s="5">
        <f t="shared" si="1"/>
        <v>10</v>
      </c>
    </row>
    <row r="231">
      <c r="A231" s="1" t="s">
        <v>252</v>
      </c>
      <c r="B231" s="4">
        <v>45715.0</v>
      </c>
      <c r="C231" s="2">
        <v>306189.0</v>
      </c>
      <c r="D231" s="3">
        <v>17.18</v>
      </c>
      <c r="E231" s="1">
        <v>60.0</v>
      </c>
      <c r="F231" s="1" t="s">
        <v>19</v>
      </c>
      <c r="G231" s="1" t="s">
        <v>13</v>
      </c>
      <c r="H231" s="1" t="s">
        <v>14</v>
      </c>
      <c r="I231" s="2">
        <v>61370.0</v>
      </c>
      <c r="J231" s="2">
        <v>4701.0</v>
      </c>
      <c r="K231" s="5">
        <f t="shared" si="1"/>
        <v>2</v>
      </c>
    </row>
    <row r="232">
      <c r="A232" s="1" t="s">
        <v>253</v>
      </c>
      <c r="B232" s="4">
        <v>45844.0</v>
      </c>
      <c r="C232" s="2">
        <v>799999.0</v>
      </c>
      <c r="D232" s="3">
        <v>10.37</v>
      </c>
      <c r="E232" s="1">
        <v>48.0</v>
      </c>
      <c r="F232" s="1" t="s">
        <v>16</v>
      </c>
      <c r="G232" s="1" t="s">
        <v>22</v>
      </c>
      <c r="H232" s="1" t="s">
        <v>14</v>
      </c>
      <c r="I232" s="2">
        <v>69133.0</v>
      </c>
      <c r="J232" s="2">
        <v>11394.0</v>
      </c>
      <c r="K232" s="5">
        <f t="shared" si="1"/>
        <v>7</v>
      </c>
    </row>
    <row r="233">
      <c r="A233" s="1" t="s">
        <v>254</v>
      </c>
      <c r="B233" s="4">
        <v>45809.0</v>
      </c>
      <c r="C233" s="2">
        <v>2760799.0</v>
      </c>
      <c r="D233" s="3">
        <v>9.77</v>
      </c>
      <c r="E233" s="1">
        <v>36.0</v>
      </c>
      <c r="F233" s="1" t="s">
        <v>19</v>
      </c>
      <c r="G233" s="1" t="s">
        <v>20</v>
      </c>
      <c r="H233" s="1" t="s">
        <v>14</v>
      </c>
      <c r="I233" s="2">
        <v>247252.0</v>
      </c>
      <c r="J233" s="2">
        <v>31200.0</v>
      </c>
      <c r="K233" s="5">
        <f t="shared" si="1"/>
        <v>6</v>
      </c>
    </row>
    <row r="234">
      <c r="A234" s="1" t="s">
        <v>255</v>
      </c>
      <c r="B234" s="4">
        <v>46039.0</v>
      </c>
      <c r="C234" s="2">
        <v>1618179.0</v>
      </c>
      <c r="D234" s="3">
        <v>11.04</v>
      </c>
      <c r="E234" s="1">
        <v>48.0</v>
      </c>
      <c r="F234" s="1" t="s">
        <v>19</v>
      </c>
      <c r="G234" s="1" t="s">
        <v>22</v>
      </c>
      <c r="H234" s="1" t="s">
        <v>14</v>
      </c>
      <c r="I234" s="2">
        <v>59548.0</v>
      </c>
      <c r="J234" s="2">
        <v>22358.0</v>
      </c>
      <c r="K234" s="5">
        <f t="shared" si="1"/>
        <v>1</v>
      </c>
    </row>
    <row r="235">
      <c r="A235" s="1" t="s">
        <v>256</v>
      </c>
      <c r="B235" s="4">
        <v>45907.0</v>
      </c>
      <c r="C235" s="2">
        <v>1382222.0</v>
      </c>
      <c r="D235" s="3">
        <v>13.21</v>
      </c>
      <c r="E235" s="1">
        <v>24.0</v>
      </c>
      <c r="F235" s="1" t="s">
        <v>27</v>
      </c>
      <c r="G235" s="1" t="s">
        <v>13</v>
      </c>
      <c r="H235" s="1" t="s">
        <v>14</v>
      </c>
      <c r="I235" s="2">
        <v>121727.0</v>
      </c>
      <c r="J235" s="2">
        <v>22240.0</v>
      </c>
      <c r="K235" s="5">
        <f t="shared" si="1"/>
        <v>9</v>
      </c>
    </row>
    <row r="236">
      <c r="A236" s="1" t="s">
        <v>257</v>
      </c>
      <c r="B236" s="4">
        <v>46014.0</v>
      </c>
      <c r="C236" s="2">
        <v>2504629.0</v>
      </c>
      <c r="D236" s="3">
        <v>9.01</v>
      </c>
      <c r="E236" s="1">
        <v>60.0</v>
      </c>
      <c r="F236" s="1" t="s">
        <v>27</v>
      </c>
      <c r="G236" s="1" t="s">
        <v>13</v>
      </c>
      <c r="H236" s="1" t="s">
        <v>14</v>
      </c>
      <c r="I236" s="2">
        <v>75222.0</v>
      </c>
      <c r="J236" s="2">
        <v>37756.0</v>
      </c>
      <c r="K236" s="5">
        <f t="shared" si="1"/>
        <v>12</v>
      </c>
    </row>
    <row r="237">
      <c r="A237" s="1" t="s">
        <v>258</v>
      </c>
      <c r="B237" s="4">
        <v>45821.0</v>
      </c>
      <c r="C237" s="2">
        <v>2198319.0</v>
      </c>
      <c r="D237" s="3">
        <v>9.24</v>
      </c>
      <c r="E237" s="1">
        <v>60.0</v>
      </c>
      <c r="F237" s="1" t="s">
        <v>19</v>
      </c>
      <c r="G237" s="1" t="s">
        <v>17</v>
      </c>
      <c r="H237" s="1" t="s">
        <v>25</v>
      </c>
      <c r="I237" s="2">
        <v>186197.0</v>
      </c>
      <c r="J237" s="2">
        <v>36692.0</v>
      </c>
      <c r="K237" s="5">
        <f t="shared" si="1"/>
        <v>6</v>
      </c>
    </row>
    <row r="238">
      <c r="A238" s="1" t="s">
        <v>259</v>
      </c>
      <c r="B238" s="4">
        <v>45944.0</v>
      </c>
      <c r="C238" s="2">
        <v>375398.0</v>
      </c>
      <c r="D238" s="3">
        <v>9.04</v>
      </c>
      <c r="E238" s="1">
        <v>60.0</v>
      </c>
      <c r="F238" s="1" t="s">
        <v>16</v>
      </c>
      <c r="G238" s="1" t="s">
        <v>20</v>
      </c>
      <c r="H238" s="1" t="s">
        <v>14</v>
      </c>
      <c r="I238" s="2">
        <v>19795.0</v>
      </c>
      <c r="J238" s="2">
        <v>6791.0</v>
      </c>
      <c r="K238" s="5">
        <f t="shared" si="1"/>
        <v>10</v>
      </c>
    </row>
    <row r="239">
      <c r="A239" s="1" t="s">
        <v>260</v>
      </c>
      <c r="B239" s="4">
        <v>45892.0</v>
      </c>
      <c r="C239" s="2">
        <v>2206375.0</v>
      </c>
      <c r="D239" s="3">
        <v>16.69</v>
      </c>
      <c r="E239" s="1">
        <v>48.0</v>
      </c>
      <c r="F239" s="1" t="s">
        <v>12</v>
      </c>
      <c r="G239" s="1" t="s">
        <v>17</v>
      </c>
      <c r="H239" s="1" t="s">
        <v>14</v>
      </c>
      <c r="I239" s="2">
        <v>245495.0</v>
      </c>
      <c r="J239" s="2">
        <v>28043.0</v>
      </c>
      <c r="K239" s="5">
        <f t="shared" si="1"/>
        <v>8</v>
      </c>
    </row>
    <row r="240">
      <c r="A240" s="1" t="s">
        <v>261</v>
      </c>
      <c r="B240" s="4">
        <v>46070.0</v>
      </c>
      <c r="C240" s="2">
        <v>1200318.0</v>
      </c>
      <c r="D240" s="3">
        <v>10.9</v>
      </c>
      <c r="E240" s="1">
        <v>48.0</v>
      </c>
      <c r="F240" s="1" t="s">
        <v>19</v>
      </c>
      <c r="G240" s="1" t="s">
        <v>20</v>
      </c>
      <c r="H240" s="1" t="s">
        <v>54</v>
      </c>
      <c r="I240" s="2">
        <v>32708.0</v>
      </c>
      <c r="J240" s="2">
        <v>22786.0</v>
      </c>
      <c r="K240" s="5">
        <f t="shared" si="1"/>
        <v>2</v>
      </c>
    </row>
    <row r="241">
      <c r="A241" s="1" t="s">
        <v>262</v>
      </c>
      <c r="B241" s="4">
        <v>45681.0</v>
      </c>
      <c r="C241" s="2">
        <v>169931.0</v>
      </c>
      <c r="D241" s="3">
        <v>14.27</v>
      </c>
      <c r="E241" s="1">
        <v>48.0</v>
      </c>
      <c r="F241" s="1" t="s">
        <v>16</v>
      </c>
      <c r="G241" s="1" t="s">
        <v>17</v>
      </c>
      <c r="H241" s="1" t="s">
        <v>25</v>
      </c>
      <c r="I241" s="2">
        <v>32332.0</v>
      </c>
      <c r="J241" s="2">
        <v>3140.0</v>
      </c>
      <c r="K241" s="5">
        <f t="shared" si="1"/>
        <v>1</v>
      </c>
    </row>
    <row r="242">
      <c r="A242" s="1" t="s">
        <v>263</v>
      </c>
      <c r="B242" s="4">
        <v>45634.0</v>
      </c>
      <c r="C242" s="2">
        <v>2323332.0</v>
      </c>
      <c r="D242" s="3">
        <v>9.34</v>
      </c>
      <c r="E242" s="1">
        <v>36.0</v>
      </c>
      <c r="F242" s="1" t="s">
        <v>19</v>
      </c>
      <c r="G242" s="1" t="s">
        <v>20</v>
      </c>
      <c r="H242" s="1" t="s">
        <v>14</v>
      </c>
      <c r="I242" s="2">
        <v>307415.0</v>
      </c>
      <c r="J242" s="2">
        <v>26739.0</v>
      </c>
      <c r="K242" s="5">
        <f t="shared" si="1"/>
        <v>12</v>
      </c>
    </row>
    <row r="243">
      <c r="A243" s="1" t="s">
        <v>264</v>
      </c>
      <c r="B243" s="4">
        <v>45670.0</v>
      </c>
      <c r="C243" s="2">
        <v>372043.0</v>
      </c>
      <c r="D243" s="3">
        <v>11.35</v>
      </c>
      <c r="E243" s="1">
        <v>24.0</v>
      </c>
      <c r="F243" s="1" t="s">
        <v>19</v>
      </c>
      <c r="G243" s="1" t="s">
        <v>20</v>
      </c>
      <c r="H243" s="1" t="s">
        <v>14</v>
      </c>
      <c r="I243" s="2">
        <v>56302.0</v>
      </c>
      <c r="J243" s="2">
        <v>5849.0</v>
      </c>
      <c r="K243" s="5">
        <f t="shared" si="1"/>
        <v>1</v>
      </c>
    </row>
    <row r="244">
      <c r="A244" s="1" t="s">
        <v>265</v>
      </c>
      <c r="B244" s="4">
        <v>45903.0</v>
      </c>
      <c r="C244" s="2">
        <v>1739322.0</v>
      </c>
      <c r="D244" s="3">
        <v>11.14</v>
      </c>
      <c r="E244" s="1">
        <v>36.0</v>
      </c>
      <c r="F244" s="1" t="s">
        <v>12</v>
      </c>
      <c r="G244" s="1" t="s">
        <v>22</v>
      </c>
      <c r="H244" s="1" t="s">
        <v>14</v>
      </c>
      <c r="I244" s="2">
        <v>129173.0</v>
      </c>
      <c r="J244" s="2">
        <v>26470.0</v>
      </c>
      <c r="K244" s="5">
        <f t="shared" si="1"/>
        <v>9</v>
      </c>
    </row>
    <row r="245">
      <c r="A245" s="1" t="s">
        <v>266</v>
      </c>
      <c r="B245" s="4">
        <v>45913.0</v>
      </c>
      <c r="C245" s="2">
        <v>1491032.0</v>
      </c>
      <c r="D245" s="3">
        <v>12.06</v>
      </c>
      <c r="E245" s="1">
        <v>60.0</v>
      </c>
      <c r="F245" s="1" t="s">
        <v>27</v>
      </c>
      <c r="G245" s="1" t="s">
        <v>17</v>
      </c>
      <c r="H245" s="1" t="s">
        <v>14</v>
      </c>
      <c r="I245" s="2">
        <v>119878.0</v>
      </c>
      <c r="J245" s="2">
        <v>19801.0</v>
      </c>
      <c r="K245" s="5">
        <f t="shared" si="1"/>
        <v>9</v>
      </c>
    </row>
    <row r="246">
      <c r="A246" s="1" t="s">
        <v>267</v>
      </c>
      <c r="B246" s="4">
        <v>45891.0</v>
      </c>
      <c r="C246" s="2">
        <v>388078.0</v>
      </c>
      <c r="D246" s="3">
        <v>9.92</v>
      </c>
      <c r="E246" s="1">
        <v>36.0</v>
      </c>
      <c r="F246" s="1" t="s">
        <v>12</v>
      </c>
      <c r="G246" s="1" t="s">
        <v>35</v>
      </c>
      <c r="H246" s="1" t="s">
        <v>14</v>
      </c>
      <c r="I246" s="2">
        <v>28873.0</v>
      </c>
      <c r="J246" s="2">
        <v>4885.0</v>
      </c>
      <c r="K246" s="5">
        <f t="shared" si="1"/>
        <v>8</v>
      </c>
    </row>
    <row r="247">
      <c r="A247" s="1" t="s">
        <v>268</v>
      </c>
      <c r="B247" s="4">
        <v>45875.0</v>
      </c>
      <c r="C247" s="2">
        <v>1014348.0</v>
      </c>
      <c r="D247" s="3">
        <v>18.18</v>
      </c>
      <c r="E247" s="1">
        <v>48.0</v>
      </c>
      <c r="F247" s="1" t="s">
        <v>19</v>
      </c>
      <c r="G247" s="1" t="s">
        <v>22</v>
      </c>
      <c r="H247" s="1" t="s">
        <v>14</v>
      </c>
      <c r="I247" s="2">
        <v>138306.0</v>
      </c>
      <c r="J247" s="2">
        <v>15774.0</v>
      </c>
      <c r="K247" s="5">
        <f t="shared" si="1"/>
        <v>8</v>
      </c>
    </row>
    <row r="248">
      <c r="A248" s="1" t="s">
        <v>269</v>
      </c>
      <c r="B248" s="4">
        <v>45831.0</v>
      </c>
      <c r="C248" s="2">
        <v>1083959.0</v>
      </c>
      <c r="D248" s="3">
        <v>10.33</v>
      </c>
      <c r="E248" s="1">
        <v>36.0</v>
      </c>
      <c r="F248" s="1" t="s">
        <v>19</v>
      </c>
      <c r="G248" s="1" t="s">
        <v>17</v>
      </c>
      <c r="H248" s="1" t="s">
        <v>14</v>
      </c>
      <c r="I248" s="2">
        <v>102641.0</v>
      </c>
      <c r="J248" s="2">
        <v>18927.0</v>
      </c>
      <c r="K248" s="5">
        <f t="shared" si="1"/>
        <v>6</v>
      </c>
    </row>
    <row r="249">
      <c r="A249" s="1" t="s">
        <v>270</v>
      </c>
      <c r="B249" s="4">
        <v>45869.0</v>
      </c>
      <c r="C249" s="2">
        <v>2135686.0</v>
      </c>
      <c r="D249" s="3">
        <v>11.89</v>
      </c>
      <c r="E249" s="1">
        <v>48.0</v>
      </c>
      <c r="F249" s="1" t="s">
        <v>27</v>
      </c>
      <c r="G249" s="1" t="s">
        <v>17</v>
      </c>
      <c r="H249" s="1" t="s">
        <v>25</v>
      </c>
      <c r="I249" s="2">
        <v>190449.0</v>
      </c>
      <c r="J249" s="2">
        <v>22284.0</v>
      </c>
      <c r="K249" s="5">
        <f t="shared" si="1"/>
        <v>7</v>
      </c>
    </row>
    <row r="250">
      <c r="A250" s="1" t="s">
        <v>271</v>
      </c>
      <c r="B250" s="4">
        <v>45972.0</v>
      </c>
      <c r="C250" s="2">
        <v>1742503.0</v>
      </c>
      <c r="D250" s="3">
        <v>15.9</v>
      </c>
      <c r="E250" s="1">
        <v>12.0</v>
      </c>
      <c r="F250" s="1" t="s">
        <v>19</v>
      </c>
      <c r="G250" s="1" t="s">
        <v>17</v>
      </c>
      <c r="H250" s="1" t="s">
        <v>14</v>
      </c>
      <c r="I250" s="2">
        <v>138528.0</v>
      </c>
      <c r="J250" s="2">
        <v>29320.0</v>
      </c>
      <c r="K250" s="5">
        <f t="shared" si="1"/>
        <v>11</v>
      </c>
    </row>
    <row r="251">
      <c r="A251" s="1" t="s">
        <v>272</v>
      </c>
      <c r="B251" s="4">
        <v>45654.0</v>
      </c>
      <c r="C251" s="2">
        <v>1475049.0</v>
      </c>
      <c r="D251" s="3">
        <v>15.87</v>
      </c>
      <c r="E251" s="1">
        <v>48.0</v>
      </c>
      <c r="F251" s="1" t="s">
        <v>19</v>
      </c>
      <c r="G251" s="1" t="s">
        <v>20</v>
      </c>
      <c r="H251" s="1" t="s">
        <v>14</v>
      </c>
      <c r="I251" s="2">
        <v>312120.0</v>
      </c>
      <c r="J251" s="2">
        <v>26366.0</v>
      </c>
      <c r="K251" s="5">
        <f t="shared" si="1"/>
        <v>12</v>
      </c>
    </row>
    <row r="252">
      <c r="A252" s="1" t="s">
        <v>273</v>
      </c>
      <c r="B252" s="4">
        <v>46011.0</v>
      </c>
      <c r="C252" s="2">
        <v>2855668.0</v>
      </c>
      <c r="D252" s="3">
        <v>15.52</v>
      </c>
      <c r="E252" s="1">
        <v>24.0</v>
      </c>
      <c r="F252" s="1" t="s">
        <v>16</v>
      </c>
      <c r="G252" s="1" t="s">
        <v>17</v>
      </c>
      <c r="H252" s="1" t="s">
        <v>14</v>
      </c>
      <c r="I252" s="2">
        <v>184666.0</v>
      </c>
      <c r="J252" s="2">
        <v>50247.0</v>
      </c>
      <c r="K252" s="5">
        <f t="shared" si="1"/>
        <v>12</v>
      </c>
    </row>
    <row r="253">
      <c r="A253" s="1" t="s">
        <v>274</v>
      </c>
      <c r="B253" s="4">
        <v>45948.0</v>
      </c>
      <c r="C253" s="2">
        <v>585013.0</v>
      </c>
      <c r="D253" s="3">
        <v>8.51</v>
      </c>
      <c r="E253" s="1">
        <v>24.0</v>
      </c>
      <c r="F253" s="1" t="s">
        <v>16</v>
      </c>
      <c r="G253" s="1" t="s">
        <v>35</v>
      </c>
      <c r="H253" s="1" t="s">
        <v>25</v>
      </c>
      <c r="I253" s="2">
        <v>29041.0</v>
      </c>
      <c r="J253" s="2">
        <v>6557.0</v>
      </c>
      <c r="K253" s="5">
        <f t="shared" si="1"/>
        <v>10</v>
      </c>
    </row>
    <row r="254">
      <c r="A254" s="1" t="s">
        <v>275</v>
      </c>
      <c r="B254" s="4">
        <v>45846.0</v>
      </c>
      <c r="C254" s="2">
        <v>2180242.0</v>
      </c>
      <c r="D254" s="3">
        <v>11.86</v>
      </c>
      <c r="E254" s="1">
        <v>12.0</v>
      </c>
      <c r="F254" s="1" t="s">
        <v>16</v>
      </c>
      <c r="G254" s="1" t="s">
        <v>22</v>
      </c>
      <c r="H254" s="1" t="s">
        <v>14</v>
      </c>
      <c r="I254" s="2">
        <v>215480.0</v>
      </c>
      <c r="J254" s="2">
        <v>37413.0</v>
      </c>
      <c r="K254" s="5">
        <f t="shared" si="1"/>
        <v>7</v>
      </c>
    </row>
    <row r="255">
      <c r="A255" s="1" t="s">
        <v>276</v>
      </c>
      <c r="B255" s="4">
        <v>45690.0</v>
      </c>
      <c r="C255" s="2">
        <v>969713.0</v>
      </c>
      <c r="D255" s="3">
        <v>12.34</v>
      </c>
      <c r="E255" s="1">
        <v>60.0</v>
      </c>
      <c r="F255" s="1" t="s">
        <v>16</v>
      </c>
      <c r="G255" s="1" t="s">
        <v>22</v>
      </c>
      <c r="H255" s="1" t="s">
        <v>14</v>
      </c>
      <c r="I255" s="2">
        <v>149578.0</v>
      </c>
      <c r="J255" s="2">
        <v>16556.0</v>
      </c>
      <c r="K255" s="5">
        <f t="shared" si="1"/>
        <v>2</v>
      </c>
    </row>
    <row r="256">
      <c r="A256" s="1" t="s">
        <v>277</v>
      </c>
      <c r="B256" s="4">
        <v>45722.0</v>
      </c>
      <c r="C256" s="2">
        <v>651369.0</v>
      </c>
      <c r="D256" s="3">
        <v>17.57</v>
      </c>
      <c r="E256" s="1">
        <v>60.0</v>
      </c>
      <c r="F256" s="1" t="s">
        <v>12</v>
      </c>
      <c r="G256" s="1" t="s">
        <v>22</v>
      </c>
      <c r="H256" s="1" t="s">
        <v>14</v>
      </c>
      <c r="I256" s="2">
        <v>133519.0</v>
      </c>
      <c r="J256" s="2">
        <v>9358.0</v>
      </c>
      <c r="K256" s="5">
        <f t="shared" si="1"/>
        <v>3</v>
      </c>
    </row>
    <row r="257">
      <c r="A257" s="1" t="s">
        <v>278</v>
      </c>
      <c r="B257" s="4">
        <v>45694.0</v>
      </c>
      <c r="C257" s="2">
        <v>2296258.0</v>
      </c>
      <c r="D257" s="3">
        <v>11.18</v>
      </c>
      <c r="E257" s="1">
        <v>60.0</v>
      </c>
      <c r="F257" s="1" t="s">
        <v>19</v>
      </c>
      <c r="G257" s="1" t="s">
        <v>20</v>
      </c>
      <c r="H257" s="1" t="s">
        <v>25</v>
      </c>
      <c r="I257" s="2">
        <v>320902.0</v>
      </c>
      <c r="J257" s="2">
        <v>39928.0</v>
      </c>
      <c r="K257" s="5">
        <f t="shared" si="1"/>
        <v>2</v>
      </c>
    </row>
    <row r="258">
      <c r="A258" s="1" t="s">
        <v>279</v>
      </c>
      <c r="B258" s="4">
        <v>45894.0</v>
      </c>
      <c r="C258" s="2">
        <v>851610.0</v>
      </c>
      <c r="D258" s="3">
        <v>17.34</v>
      </c>
      <c r="E258" s="1">
        <v>60.0</v>
      </c>
      <c r="F258" s="1" t="s">
        <v>12</v>
      </c>
      <c r="G258" s="1" t="s">
        <v>13</v>
      </c>
      <c r="H258" s="1" t="s">
        <v>14</v>
      </c>
      <c r="I258" s="2">
        <v>98446.0</v>
      </c>
      <c r="J258" s="2">
        <v>9287.0</v>
      </c>
      <c r="K258" s="5">
        <f t="shared" si="1"/>
        <v>8</v>
      </c>
    </row>
    <row r="259">
      <c r="A259" s="1" t="s">
        <v>280</v>
      </c>
      <c r="B259" s="4">
        <v>45971.0</v>
      </c>
      <c r="C259" s="2">
        <v>1634731.0</v>
      </c>
      <c r="D259" s="3">
        <v>13.16</v>
      </c>
      <c r="E259" s="1">
        <v>24.0</v>
      </c>
      <c r="F259" s="1" t="s">
        <v>12</v>
      </c>
      <c r="G259" s="1" t="s">
        <v>13</v>
      </c>
      <c r="H259" s="1" t="s">
        <v>14</v>
      </c>
      <c r="I259" s="2">
        <v>107565.0</v>
      </c>
      <c r="J259" s="2">
        <v>24527.0</v>
      </c>
      <c r="K259" s="5">
        <f t="shared" si="1"/>
        <v>11</v>
      </c>
    </row>
    <row r="260">
      <c r="A260" s="1" t="s">
        <v>281</v>
      </c>
      <c r="B260" s="4">
        <v>45849.0</v>
      </c>
      <c r="C260" s="2">
        <v>2916989.0</v>
      </c>
      <c r="D260" s="3">
        <v>14.16</v>
      </c>
      <c r="E260" s="1">
        <v>24.0</v>
      </c>
      <c r="F260" s="1" t="s">
        <v>12</v>
      </c>
      <c r="G260" s="1" t="s">
        <v>35</v>
      </c>
      <c r="H260" s="1" t="s">
        <v>14</v>
      </c>
      <c r="I260" s="2">
        <v>344204.0</v>
      </c>
      <c r="J260" s="2">
        <v>55519.0</v>
      </c>
      <c r="K260" s="5">
        <f t="shared" si="1"/>
        <v>7</v>
      </c>
    </row>
    <row r="261">
      <c r="A261" s="1" t="s">
        <v>282</v>
      </c>
      <c r="B261" s="4">
        <v>45678.0</v>
      </c>
      <c r="C261" s="2">
        <v>2065687.0</v>
      </c>
      <c r="D261" s="3">
        <v>10.09</v>
      </c>
      <c r="E261" s="1">
        <v>36.0</v>
      </c>
      <c r="F261" s="1" t="s">
        <v>16</v>
      </c>
      <c r="G261" s="1" t="s">
        <v>17</v>
      </c>
      <c r="H261" s="1" t="s">
        <v>14</v>
      </c>
      <c r="I261" s="2">
        <v>277903.0</v>
      </c>
      <c r="J261" s="2">
        <v>39573.0</v>
      </c>
      <c r="K261" s="5">
        <f t="shared" si="1"/>
        <v>1</v>
      </c>
    </row>
    <row r="262">
      <c r="A262" s="1" t="s">
        <v>283</v>
      </c>
      <c r="B262" s="4">
        <v>45750.0</v>
      </c>
      <c r="C262" s="2">
        <v>2425289.0</v>
      </c>
      <c r="D262" s="3">
        <v>12.32</v>
      </c>
      <c r="E262" s="1">
        <v>60.0</v>
      </c>
      <c r="F262" s="1" t="s">
        <v>27</v>
      </c>
      <c r="G262" s="1" t="s">
        <v>35</v>
      </c>
      <c r="H262" s="1" t="s">
        <v>14</v>
      </c>
      <c r="I262" s="2">
        <v>323695.0</v>
      </c>
      <c r="J262" s="2">
        <v>33776.0</v>
      </c>
      <c r="K262" s="5">
        <f t="shared" si="1"/>
        <v>4</v>
      </c>
    </row>
    <row r="263">
      <c r="A263" s="1" t="s">
        <v>284</v>
      </c>
      <c r="B263" s="4">
        <v>46083.0</v>
      </c>
      <c r="C263" s="2">
        <v>2475262.0</v>
      </c>
      <c r="D263" s="3">
        <v>9.78</v>
      </c>
      <c r="E263" s="1">
        <v>60.0</v>
      </c>
      <c r="F263" s="1" t="s">
        <v>16</v>
      </c>
      <c r="G263" s="1" t="s">
        <v>20</v>
      </c>
      <c r="H263" s="1" t="s">
        <v>25</v>
      </c>
      <c r="I263" s="2">
        <v>40346.0</v>
      </c>
      <c r="J263" s="2">
        <v>32099.0</v>
      </c>
      <c r="K263" s="5">
        <f t="shared" si="1"/>
        <v>3</v>
      </c>
    </row>
    <row r="264">
      <c r="A264" s="1" t="s">
        <v>285</v>
      </c>
      <c r="B264" s="4">
        <v>45803.0</v>
      </c>
      <c r="C264" s="2">
        <v>1927912.0</v>
      </c>
      <c r="D264" s="3">
        <v>18.13</v>
      </c>
      <c r="E264" s="1">
        <v>12.0</v>
      </c>
      <c r="F264" s="1" t="s">
        <v>27</v>
      </c>
      <c r="G264" s="1" t="s">
        <v>17</v>
      </c>
      <c r="H264" s="1" t="s">
        <v>14</v>
      </c>
      <c r="I264" s="2">
        <v>320402.0</v>
      </c>
      <c r="J264" s="2">
        <v>21763.0</v>
      </c>
      <c r="K264" s="5">
        <f t="shared" si="1"/>
        <v>5</v>
      </c>
    </row>
    <row r="265">
      <c r="A265" s="1" t="s">
        <v>286</v>
      </c>
      <c r="B265" s="4">
        <v>45984.0</v>
      </c>
      <c r="C265" s="2">
        <v>1400560.0</v>
      </c>
      <c r="D265" s="3">
        <v>10.17</v>
      </c>
      <c r="E265" s="1">
        <v>36.0</v>
      </c>
      <c r="F265" s="1" t="s">
        <v>12</v>
      </c>
      <c r="G265" s="1" t="s">
        <v>35</v>
      </c>
      <c r="H265" s="1" t="s">
        <v>25</v>
      </c>
      <c r="I265" s="2">
        <v>59348.0</v>
      </c>
      <c r="J265" s="2">
        <v>23143.0</v>
      </c>
      <c r="K265" s="5">
        <f t="shared" si="1"/>
        <v>11</v>
      </c>
    </row>
    <row r="266">
      <c r="A266" s="1" t="s">
        <v>287</v>
      </c>
      <c r="B266" s="4">
        <v>45929.0</v>
      </c>
      <c r="C266" s="2">
        <v>2975157.0</v>
      </c>
      <c r="D266" s="3">
        <v>15.12</v>
      </c>
      <c r="E266" s="1">
        <v>36.0</v>
      </c>
      <c r="F266" s="1" t="s">
        <v>16</v>
      </c>
      <c r="G266" s="1" t="s">
        <v>13</v>
      </c>
      <c r="H266" s="1" t="s">
        <v>14</v>
      </c>
      <c r="I266" s="2">
        <v>262408.0</v>
      </c>
      <c r="J266" s="2">
        <v>48464.0</v>
      </c>
      <c r="K266" s="5">
        <f t="shared" si="1"/>
        <v>9</v>
      </c>
    </row>
    <row r="267">
      <c r="A267" s="1" t="s">
        <v>288</v>
      </c>
      <c r="B267" s="4">
        <v>45872.0</v>
      </c>
      <c r="C267" s="2">
        <v>1892548.0</v>
      </c>
      <c r="D267" s="3">
        <v>9.29</v>
      </c>
      <c r="E267" s="1">
        <v>12.0</v>
      </c>
      <c r="F267" s="1" t="s">
        <v>27</v>
      </c>
      <c r="G267" s="1" t="s">
        <v>17</v>
      </c>
      <c r="H267" s="1" t="s">
        <v>14</v>
      </c>
      <c r="I267" s="2">
        <v>131863.0</v>
      </c>
      <c r="J267" s="2">
        <v>37638.0</v>
      </c>
      <c r="K267" s="5">
        <f t="shared" si="1"/>
        <v>8</v>
      </c>
    </row>
    <row r="268">
      <c r="A268" s="1" t="s">
        <v>289</v>
      </c>
      <c r="B268" s="4">
        <v>45662.0</v>
      </c>
      <c r="C268" s="2">
        <v>2950989.0</v>
      </c>
      <c r="D268" s="3">
        <v>17.72</v>
      </c>
      <c r="E268" s="1">
        <v>12.0</v>
      </c>
      <c r="F268" s="1" t="s">
        <v>27</v>
      </c>
      <c r="G268" s="1" t="s">
        <v>17</v>
      </c>
      <c r="H268" s="1" t="s">
        <v>14</v>
      </c>
      <c r="I268" s="2">
        <v>522915.0</v>
      </c>
      <c r="J268" s="2">
        <v>31612.0</v>
      </c>
      <c r="K268" s="5">
        <f t="shared" si="1"/>
        <v>1</v>
      </c>
    </row>
    <row r="269">
      <c r="A269" s="1" t="s">
        <v>290</v>
      </c>
      <c r="B269" s="4">
        <v>46046.0</v>
      </c>
      <c r="C269" s="2">
        <v>2771129.0</v>
      </c>
      <c r="D269" s="3">
        <v>15.62</v>
      </c>
      <c r="E269" s="1">
        <v>48.0</v>
      </c>
      <c r="F269" s="1" t="s">
        <v>12</v>
      </c>
      <c r="G269" s="1" t="s">
        <v>13</v>
      </c>
      <c r="H269" s="1" t="s">
        <v>14</v>
      </c>
      <c r="I269" s="2">
        <v>108212.0</v>
      </c>
      <c r="J269" s="2">
        <v>36800.0</v>
      </c>
      <c r="K269" s="5">
        <f t="shared" si="1"/>
        <v>1</v>
      </c>
    </row>
    <row r="270">
      <c r="A270" s="1" t="s">
        <v>291</v>
      </c>
      <c r="B270" s="4">
        <v>46077.0</v>
      </c>
      <c r="C270" s="2">
        <v>1490653.0</v>
      </c>
      <c r="D270" s="3">
        <v>13.54</v>
      </c>
      <c r="E270" s="1">
        <v>60.0</v>
      </c>
      <c r="F270" s="1" t="s">
        <v>27</v>
      </c>
      <c r="G270" s="1" t="s">
        <v>20</v>
      </c>
      <c r="H270" s="1" t="s">
        <v>14</v>
      </c>
      <c r="I270" s="2">
        <v>33639.0</v>
      </c>
      <c r="J270" s="2">
        <v>22721.0</v>
      </c>
      <c r="K270" s="5">
        <f t="shared" si="1"/>
        <v>2</v>
      </c>
    </row>
    <row r="271">
      <c r="A271" s="1" t="s">
        <v>292</v>
      </c>
      <c r="B271" s="4">
        <v>45843.0</v>
      </c>
      <c r="C271" s="2">
        <v>446031.0</v>
      </c>
      <c r="D271" s="3">
        <v>18.43</v>
      </c>
      <c r="E271" s="1">
        <v>48.0</v>
      </c>
      <c r="F271" s="1" t="s">
        <v>12</v>
      </c>
      <c r="G271" s="1" t="s">
        <v>13</v>
      </c>
      <c r="H271" s="1" t="s">
        <v>14</v>
      </c>
      <c r="I271" s="2">
        <v>68502.0</v>
      </c>
      <c r="J271" s="2">
        <v>6041.0</v>
      </c>
      <c r="K271" s="5">
        <f t="shared" si="1"/>
        <v>7</v>
      </c>
    </row>
    <row r="272">
      <c r="A272" s="1" t="s">
        <v>293</v>
      </c>
      <c r="B272" s="4">
        <v>45742.0</v>
      </c>
      <c r="C272" s="2">
        <v>1273604.0</v>
      </c>
      <c r="D272" s="3">
        <v>16.55</v>
      </c>
      <c r="E272" s="1">
        <v>36.0</v>
      </c>
      <c r="F272" s="1" t="s">
        <v>19</v>
      </c>
      <c r="G272" s="1" t="s">
        <v>22</v>
      </c>
      <c r="H272" s="1" t="s">
        <v>25</v>
      </c>
      <c r="I272" s="2">
        <v>228346.0</v>
      </c>
      <c r="J272" s="2">
        <v>21813.0</v>
      </c>
      <c r="K272" s="5">
        <f t="shared" si="1"/>
        <v>3</v>
      </c>
    </row>
    <row r="273">
      <c r="A273" s="1" t="s">
        <v>294</v>
      </c>
      <c r="B273" s="4">
        <v>45915.0</v>
      </c>
      <c r="C273" s="2">
        <v>2191149.0</v>
      </c>
      <c r="D273" s="3">
        <v>10.21</v>
      </c>
      <c r="E273" s="1">
        <v>60.0</v>
      </c>
      <c r="F273" s="1" t="s">
        <v>27</v>
      </c>
      <c r="G273" s="1" t="s">
        <v>20</v>
      </c>
      <c r="H273" s="1" t="s">
        <v>14</v>
      </c>
      <c r="I273" s="2">
        <v>149144.0</v>
      </c>
      <c r="J273" s="2">
        <v>22740.0</v>
      </c>
      <c r="K273" s="5">
        <f t="shared" si="1"/>
        <v>9</v>
      </c>
    </row>
    <row r="274">
      <c r="A274" s="1" t="s">
        <v>295</v>
      </c>
      <c r="B274" s="4">
        <v>46058.0</v>
      </c>
      <c r="C274" s="2">
        <v>1570317.0</v>
      </c>
      <c r="D274" s="3">
        <v>10.55</v>
      </c>
      <c r="E274" s="1">
        <v>24.0</v>
      </c>
      <c r="F274" s="1" t="s">
        <v>27</v>
      </c>
      <c r="G274" s="1" t="s">
        <v>35</v>
      </c>
      <c r="H274" s="1" t="s">
        <v>14</v>
      </c>
      <c r="I274" s="2">
        <v>41417.0</v>
      </c>
      <c r="J274" s="2">
        <v>27628.0</v>
      </c>
      <c r="K274" s="5">
        <f t="shared" si="1"/>
        <v>2</v>
      </c>
    </row>
    <row r="275">
      <c r="A275" s="1" t="s">
        <v>296</v>
      </c>
      <c r="B275" s="4">
        <v>45695.0</v>
      </c>
      <c r="C275" s="2">
        <v>318836.0</v>
      </c>
      <c r="D275" s="3">
        <v>14.85</v>
      </c>
      <c r="E275" s="1">
        <v>12.0</v>
      </c>
      <c r="F275" s="1" t="s">
        <v>19</v>
      </c>
      <c r="G275" s="1" t="s">
        <v>13</v>
      </c>
      <c r="H275" s="1" t="s">
        <v>14</v>
      </c>
      <c r="I275" s="2">
        <v>47347.0</v>
      </c>
      <c r="J275" s="2">
        <v>5946.0</v>
      </c>
      <c r="K275" s="5">
        <f t="shared" si="1"/>
        <v>2</v>
      </c>
    </row>
    <row r="276">
      <c r="A276" s="1" t="s">
        <v>297</v>
      </c>
      <c r="B276" s="4">
        <v>45632.0</v>
      </c>
      <c r="C276" s="2">
        <v>2072617.0</v>
      </c>
      <c r="D276" s="3">
        <v>14.89</v>
      </c>
      <c r="E276" s="1">
        <v>60.0</v>
      </c>
      <c r="F276" s="1" t="s">
        <v>19</v>
      </c>
      <c r="G276" s="1" t="s">
        <v>35</v>
      </c>
      <c r="H276" s="1" t="s">
        <v>14</v>
      </c>
      <c r="I276" s="2">
        <v>437201.0</v>
      </c>
      <c r="J276" s="2">
        <v>24835.0</v>
      </c>
      <c r="K276" s="5">
        <f t="shared" si="1"/>
        <v>12</v>
      </c>
    </row>
    <row r="277">
      <c r="A277" s="1" t="s">
        <v>298</v>
      </c>
      <c r="B277" s="4">
        <v>45943.0</v>
      </c>
      <c r="C277" s="2">
        <v>1244166.0</v>
      </c>
      <c r="D277" s="3">
        <v>10.84</v>
      </c>
      <c r="E277" s="1">
        <v>60.0</v>
      </c>
      <c r="F277" s="1" t="s">
        <v>19</v>
      </c>
      <c r="G277" s="1" t="s">
        <v>13</v>
      </c>
      <c r="H277" s="1" t="s">
        <v>14</v>
      </c>
      <c r="I277" s="2">
        <v>78672.0</v>
      </c>
      <c r="J277" s="2">
        <v>21142.0</v>
      </c>
      <c r="K277" s="5">
        <f t="shared" si="1"/>
        <v>10</v>
      </c>
    </row>
    <row r="278">
      <c r="A278" s="1" t="s">
        <v>299</v>
      </c>
      <c r="B278" s="4">
        <v>45806.0</v>
      </c>
      <c r="C278" s="2">
        <v>426265.0</v>
      </c>
      <c r="D278" s="3">
        <v>13.04</v>
      </c>
      <c r="E278" s="1">
        <v>12.0</v>
      </c>
      <c r="F278" s="1" t="s">
        <v>12</v>
      </c>
      <c r="G278" s="1" t="s">
        <v>13</v>
      </c>
      <c r="H278" s="1" t="s">
        <v>14</v>
      </c>
      <c r="I278" s="2">
        <v>50952.0</v>
      </c>
      <c r="J278" s="2">
        <v>4595.0</v>
      </c>
      <c r="K278" s="5">
        <f t="shared" si="1"/>
        <v>5</v>
      </c>
    </row>
    <row r="279">
      <c r="A279" s="1" t="s">
        <v>300</v>
      </c>
      <c r="B279" s="4">
        <v>45653.0</v>
      </c>
      <c r="C279" s="2">
        <v>2501644.0</v>
      </c>
      <c r="D279" s="3">
        <v>18.31</v>
      </c>
      <c r="E279" s="1">
        <v>12.0</v>
      </c>
      <c r="F279" s="1" t="s">
        <v>19</v>
      </c>
      <c r="G279" s="1" t="s">
        <v>17</v>
      </c>
      <c r="H279" s="1" t="s">
        <v>14</v>
      </c>
      <c r="I279" s="2">
        <v>458051.0</v>
      </c>
      <c r="J279" s="2">
        <v>31836.0</v>
      </c>
      <c r="K279" s="5">
        <f t="shared" si="1"/>
        <v>12</v>
      </c>
    </row>
    <row r="280">
      <c r="A280" s="1" t="s">
        <v>301</v>
      </c>
      <c r="B280" s="4">
        <v>45665.0</v>
      </c>
      <c r="C280" s="2">
        <v>1650216.0</v>
      </c>
      <c r="D280" s="3">
        <v>13.03</v>
      </c>
      <c r="E280" s="1">
        <v>48.0</v>
      </c>
      <c r="F280" s="1" t="s">
        <v>27</v>
      </c>
      <c r="G280" s="1" t="s">
        <v>17</v>
      </c>
      <c r="H280" s="1" t="s">
        <v>25</v>
      </c>
      <c r="I280" s="2">
        <v>286697.0</v>
      </c>
      <c r="J280" s="2">
        <v>17593.0</v>
      </c>
      <c r="K280" s="5">
        <f t="shared" si="1"/>
        <v>1</v>
      </c>
    </row>
    <row r="281">
      <c r="A281" s="1" t="s">
        <v>302</v>
      </c>
      <c r="B281" s="4">
        <v>45774.0</v>
      </c>
      <c r="C281" s="2">
        <v>2473809.0</v>
      </c>
      <c r="D281" s="3">
        <v>11.84</v>
      </c>
      <c r="E281" s="1">
        <v>24.0</v>
      </c>
      <c r="F281" s="1" t="s">
        <v>27</v>
      </c>
      <c r="G281" s="1" t="s">
        <v>20</v>
      </c>
      <c r="H281" s="1" t="s">
        <v>14</v>
      </c>
      <c r="I281" s="2">
        <v>292898.0</v>
      </c>
      <c r="J281" s="2">
        <v>45236.0</v>
      </c>
      <c r="K281" s="5">
        <f t="shared" si="1"/>
        <v>4</v>
      </c>
    </row>
    <row r="282">
      <c r="A282" s="1" t="s">
        <v>303</v>
      </c>
      <c r="B282" s="4">
        <v>45936.0</v>
      </c>
      <c r="C282" s="2">
        <v>652597.0</v>
      </c>
      <c r="D282" s="3">
        <v>9.36</v>
      </c>
      <c r="E282" s="1">
        <v>12.0</v>
      </c>
      <c r="F282" s="1" t="s">
        <v>16</v>
      </c>
      <c r="G282" s="1" t="s">
        <v>22</v>
      </c>
      <c r="H282" s="1" t="s">
        <v>14</v>
      </c>
      <c r="I282" s="2">
        <v>35631.0</v>
      </c>
      <c r="J282" s="2">
        <v>12070.0</v>
      </c>
      <c r="K282" s="5">
        <f t="shared" si="1"/>
        <v>10</v>
      </c>
    </row>
    <row r="283">
      <c r="A283" s="1" t="s">
        <v>304</v>
      </c>
      <c r="B283" s="4">
        <v>46099.0</v>
      </c>
      <c r="C283" s="2">
        <v>872467.0</v>
      </c>
      <c r="D283" s="3">
        <v>9.34</v>
      </c>
      <c r="E283" s="1">
        <v>60.0</v>
      </c>
      <c r="F283" s="1" t="s">
        <v>16</v>
      </c>
      <c r="G283" s="1" t="s">
        <v>20</v>
      </c>
      <c r="H283" s="1" t="s">
        <v>14</v>
      </c>
      <c r="I283" s="2">
        <v>13581.0</v>
      </c>
      <c r="J283" s="2">
        <v>12104.0</v>
      </c>
      <c r="K283" s="5">
        <f t="shared" si="1"/>
        <v>3</v>
      </c>
    </row>
    <row r="284">
      <c r="A284" s="1" t="s">
        <v>305</v>
      </c>
      <c r="B284" s="4">
        <v>46026.0</v>
      </c>
      <c r="C284" s="2">
        <v>859985.0</v>
      </c>
      <c r="D284" s="3">
        <v>17.07</v>
      </c>
      <c r="E284" s="1">
        <v>36.0</v>
      </c>
      <c r="F284" s="1" t="s">
        <v>19</v>
      </c>
      <c r="G284" s="1" t="s">
        <v>22</v>
      </c>
      <c r="H284" s="1" t="s">
        <v>14</v>
      </c>
      <c r="I284" s="2">
        <v>48933.0</v>
      </c>
      <c r="J284" s="2">
        <v>13948.0</v>
      </c>
      <c r="K284" s="5">
        <f t="shared" si="1"/>
        <v>1</v>
      </c>
    </row>
    <row r="285">
      <c r="A285" s="1" t="s">
        <v>306</v>
      </c>
      <c r="B285" s="4">
        <v>45659.0</v>
      </c>
      <c r="C285" s="2">
        <v>1735402.0</v>
      </c>
      <c r="D285" s="3">
        <v>9.72</v>
      </c>
      <c r="E285" s="1">
        <v>48.0</v>
      </c>
      <c r="F285" s="1" t="s">
        <v>27</v>
      </c>
      <c r="G285" s="1" t="s">
        <v>35</v>
      </c>
      <c r="H285" s="1" t="s">
        <v>14</v>
      </c>
      <c r="I285" s="2">
        <v>224908.0</v>
      </c>
      <c r="J285" s="2">
        <v>21159.0</v>
      </c>
      <c r="K285" s="5">
        <f t="shared" si="1"/>
        <v>1</v>
      </c>
    </row>
    <row r="286">
      <c r="A286" s="1" t="s">
        <v>307</v>
      </c>
      <c r="B286" s="4">
        <v>45990.0</v>
      </c>
      <c r="C286" s="2">
        <v>1497526.0</v>
      </c>
      <c r="D286" s="3">
        <v>15.29</v>
      </c>
      <c r="E286" s="1">
        <v>60.0</v>
      </c>
      <c r="F286" s="1" t="s">
        <v>27</v>
      </c>
      <c r="G286" s="1" t="s">
        <v>17</v>
      </c>
      <c r="H286" s="1" t="s">
        <v>14</v>
      </c>
      <c r="I286" s="2">
        <v>95404.0</v>
      </c>
      <c r="J286" s="2">
        <v>27458.0</v>
      </c>
      <c r="K286" s="5">
        <f t="shared" si="1"/>
        <v>11</v>
      </c>
    </row>
    <row r="287">
      <c r="A287" s="1" t="s">
        <v>308</v>
      </c>
      <c r="B287" s="4">
        <v>45849.0</v>
      </c>
      <c r="C287" s="2">
        <v>1903783.0</v>
      </c>
      <c r="D287" s="3">
        <v>12.5</v>
      </c>
      <c r="E287" s="1">
        <v>24.0</v>
      </c>
      <c r="F287" s="1" t="s">
        <v>12</v>
      </c>
      <c r="G287" s="1" t="s">
        <v>13</v>
      </c>
      <c r="H287" s="1" t="s">
        <v>14</v>
      </c>
      <c r="I287" s="2">
        <v>198310.0</v>
      </c>
      <c r="J287" s="2">
        <v>21359.0</v>
      </c>
      <c r="K287" s="5">
        <f t="shared" si="1"/>
        <v>7</v>
      </c>
    </row>
    <row r="288">
      <c r="A288" s="1" t="s">
        <v>309</v>
      </c>
      <c r="B288" s="4">
        <v>45689.0</v>
      </c>
      <c r="C288" s="2">
        <v>1345878.0</v>
      </c>
      <c r="D288" s="3">
        <v>15.52</v>
      </c>
      <c r="E288" s="1">
        <v>24.0</v>
      </c>
      <c r="F288" s="1" t="s">
        <v>12</v>
      </c>
      <c r="G288" s="1" t="s">
        <v>35</v>
      </c>
      <c r="H288" s="1" t="s">
        <v>14</v>
      </c>
      <c r="I288" s="2">
        <v>261100.0</v>
      </c>
      <c r="J288" s="2">
        <v>23179.0</v>
      </c>
      <c r="K288" s="5">
        <f t="shared" si="1"/>
        <v>2</v>
      </c>
    </row>
    <row r="289">
      <c r="A289" s="1" t="s">
        <v>310</v>
      </c>
      <c r="B289" s="4">
        <v>45835.0</v>
      </c>
      <c r="C289" s="2">
        <v>1624962.0</v>
      </c>
      <c r="D289" s="3">
        <v>14.31</v>
      </c>
      <c r="E289" s="1">
        <v>36.0</v>
      </c>
      <c r="F289" s="1" t="s">
        <v>12</v>
      </c>
      <c r="G289" s="1" t="s">
        <v>13</v>
      </c>
      <c r="H289" s="1" t="s">
        <v>14</v>
      </c>
      <c r="I289" s="2">
        <v>193776.0</v>
      </c>
      <c r="J289" s="2">
        <v>22812.0</v>
      </c>
      <c r="K289" s="5">
        <f t="shared" si="1"/>
        <v>6</v>
      </c>
    </row>
    <row r="290">
      <c r="A290" s="1" t="s">
        <v>311</v>
      </c>
      <c r="B290" s="4">
        <v>45870.0</v>
      </c>
      <c r="C290" s="2">
        <v>2781013.0</v>
      </c>
      <c r="D290" s="3">
        <v>10.7</v>
      </c>
      <c r="E290" s="1">
        <v>12.0</v>
      </c>
      <c r="F290" s="1" t="s">
        <v>19</v>
      </c>
      <c r="G290" s="1" t="s">
        <v>35</v>
      </c>
      <c r="H290" s="1" t="s">
        <v>14</v>
      </c>
      <c r="I290" s="2">
        <v>223176.0</v>
      </c>
      <c r="J290" s="2">
        <v>39617.0</v>
      </c>
      <c r="K290" s="5">
        <f t="shared" si="1"/>
        <v>8</v>
      </c>
    </row>
    <row r="291">
      <c r="A291" s="1" t="s">
        <v>312</v>
      </c>
      <c r="B291" s="4">
        <v>45757.0</v>
      </c>
      <c r="C291" s="2">
        <v>724671.0</v>
      </c>
      <c r="D291" s="3">
        <v>13.06</v>
      </c>
      <c r="E291" s="1">
        <v>36.0</v>
      </c>
      <c r="F291" s="1" t="s">
        <v>27</v>
      </c>
      <c r="G291" s="1" t="s">
        <v>17</v>
      </c>
      <c r="H291" s="1" t="s">
        <v>14</v>
      </c>
      <c r="I291" s="2">
        <v>102528.0</v>
      </c>
      <c r="J291" s="2">
        <v>12918.0</v>
      </c>
      <c r="K291" s="5">
        <f t="shared" si="1"/>
        <v>4</v>
      </c>
    </row>
    <row r="292">
      <c r="A292" s="1" t="s">
        <v>313</v>
      </c>
      <c r="B292" s="4">
        <v>45844.0</v>
      </c>
      <c r="C292" s="2">
        <v>1086570.0</v>
      </c>
      <c r="D292" s="3">
        <v>15.63</v>
      </c>
      <c r="E292" s="1">
        <v>12.0</v>
      </c>
      <c r="F292" s="1" t="s">
        <v>27</v>
      </c>
      <c r="G292" s="1" t="s">
        <v>35</v>
      </c>
      <c r="H292" s="1" t="s">
        <v>14</v>
      </c>
      <c r="I292" s="2">
        <v>141525.0</v>
      </c>
      <c r="J292" s="2">
        <v>12129.0</v>
      </c>
      <c r="K292" s="5">
        <f t="shared" si="1"/>
        <v>7</v>
      </c>
    </row>
    <row r="293">
      <c r="A293" s="1" t="s">
        <v>314</v>
      </c>
      <c r="B293" s="4">
        <v>46064.0</v>
      </c>
      <c r="C293" s="2">
        <v>2237132.0</v>
      </c>
      <c r="D293" s="3">
        <v>16.91</v>
      </c>
      <c r="E293" s="1">
        <v>36.0</v>
      </c>
      <c r="F293" s="1" t="s">
        <v>27</v>
      </c>
      <c r="G293" s="1" t="s">
        <v>17</v>
      </c>
      <c r="H293" s="1" t="s">
        <v>14</v>
      </c>
      <c r="I293" s="2">
        <v>94574.0</v>
      </c>
      <c r="J293" s="2">
        <v>28402.0</v>
      </c>
      <c r="K293" s="5">
        <f t="shared" si="1"/>
        <v>2</v>
      </c>
    </row>
    <row r="294">
      <c r="A294" s="1" t="s">
        <v>315</v>
      </c>
      <c r="B294" s="4">
        <v>45978.0</v>
      </c>
      <c r="C294" s="2">
        <v>890174.0</v>
      </c>
      <c r="D294" s="3">
        <v>16.53</v>
      </c>
      <c r="E294" s="1">
        <v>24.0</v>
      </c>
      <c r="F294" s="1" t="s">
        <v>12</v>
      </c>
      <c r="G294" s="1" t="s">
        <v>22</v>
      </c>
      <c r="H294" s="1" t="s">
        <v>14</v>
      </c>
      <c r="I294" s="2">
        <v>73572.0</v>
      </c>
      <c r="J294" s="2">
        <v>10115.0</v>
      </c>
      <c r="K294" s="5">
        <f t="shared" si="1"/>
        <v>11</v>
      </c>
    </row>
    <row r="295">
      <c r="A295" s="1" t="s">
        <v>316</v>
      </c>
      <c r="B295" s="4">
        <v>45773.0</v>
      </c>
      <c r="C295" s="2">
        <v>479740.0</v>
      </c>
      <c r="D295" s="3">
        <v>17.04</v>
      </c>
      <c r="E295" s="1">
        <v>48.0</v>
      </c>
      <c r="F295" s="1" t="s">
        <v>19</v>
      </c>
      <c r="G295" s="1" t="s">
        <v>17</v>
      </c>
      <c r="H295" s="1" t="s">
        <v>14</v>
      </c>
      <c r="I295" s="2">
        <v>81747.0</v>
      </c>
      <c r="J295" s="2">
        <v>6922.0</v>
      </c>
      <c r="K295" s="5">
        <f t="shared" si="1"/>
        <v>4</v>
      </c>
    </row>
    <row r="296">
      <c r="A296" s="1" t="s">
        <v>317</v>
      </c>
      <c r="B296" s="4">
        <v>45655.0</v>
      </c>
      <c r="C296" s="2">
        <v>352926.0</v>
      </c>
      <c r="D296" s="3">
        <v>9.97</v>
      </c>
      <c r="E296" s="1">
        <v>12.0</v>
      </c>
      <c r="F296" s="1" t="s">
        <v>16</v>
      </c>
      <c r="G296" s="1" t="s">
        <v>20</v>
      </c>
      <c r="H296" s="1" t="s">
        <v>14</v>
      </c>
      <c r="I296" s="2">
        <v>35186.0</v>
      </c>
      <c r="J296" s="2">
        <v>4732.0</v>
      </c>
      <c r="K296" s="5">
        <f t="shared" si="1"/>
        <v>12</v>
      </c>
    </row>
    <row r="297">
      <c r="A297" s="1" t="s">
        <v>318</v>
      </c>
      <c r="B297" s="4">
        <v>45857.0</v>
      </c>
      <c r="C297" s="2">
        <v>2252301.0</v>
      </c>
      <c r="D297" s="3">
        <v>16.19</v>
      </c>
      <c r="E297" s="1">
        <v>36.0</v>
      </c>
      <c r="F297" s="1" t="s">
        <v>19</v>
      </c>
      <c r="G297" s="1" t="s">
        <v>17</v>
      </c>
      <c r="H297" s="1" t="s">
        <v>14</v>
      </c>
      <c r="I297" s="2">
        <v>303872.0</v>
      </c>
      <c r="J297" s="2">
        <v>31699.0</v>
      </c>
      <c r="K297" s="5">
        <f t="shared" si="1"/>
        <v>7</v>
      </c>
    </row>
    <row r="298">
      <c r="A298" s="1" t="s">
        <v>319</v>
      </c>
      <c r="B298" s="4">
        <v>45992.0</v>
      </c>
      <c r="C298" s="2">
        <v>984245.0</v>
      </c>
      <c r="D298" s="3">
        <v>17.49</v>
      </c>
      <c r="E298" s="1">
        <v>36.0</v>
      </c>
      <c r="F298" s="1" t="s">
        <v>27</v>
      </c>
      <c r="G298" s="1" t="s">
        <v>13</v>
      </c>
      <c r="H298" s="1" t="s">
        <v>14</v>
      </c>
      <c r="I298" s="2">
        <v>71726.0</v>
      </c>
      <c r="J298" s="2">
        <v>15132.0</v>
      </c>
      <c r="K298" s="5">
        <f t="shared" si="1"/>
        <v>12</v>
      </c>
    </row>
    <row r="299">
      <c r="A299" s="1" t="s">
        <v>320</v>
      </c>
      <c r="B299" s="4">
        <v>45727.0</v>
      </c>
      <c r="C299" s="2">
        <v>2796460.0</v>
      </c>
      <c r="D299" s="3">
        <v>13.63</v>
      </c>
      <c r="E299" s="1">
        <v>60.0</v>
      </c>
      <c r="F299" s="1" t="s">
        <v>12</v>
      </c>
      <c r="G299" s="1" t="s">
        <v>22</v>
      </c>
      <c r="H299" s="1" t="s">
        <v>14</v>
      </c>
      <c r="I299" s="2">
        <v>444683.0</v>
      </c>
      <c r="J299" s="2">
        <v>31968.0</v>
      </c>
      <c r="K299" s="5">
        <f t="shared" si="1"/>
        <v>3</v>
      </c>
    </row>
    <row r="300">
      <c r="A300" s="1" t="s">
        <v>321</v>
      </c>
      <c r="B300" s="4">
        <v>45729.0</v>
      </c>
      <c r="C300" s="2">
        <v>925832.0</v>
      </c>
      <c r="D300" s="3">
        <v>12.68</v>
      </c>
      <c r="E300" s="1">
        <v>48.0</v>
      </c>
      <c r="F300" s="1" t="s">
        <v>27</v>
      </c>
      <c r="G300" s="1" t="s">
        <v>17</v>
      </c>
      <c r="H300" s="1" t="s">
        <v>14</v>
      </c>
      <c r="I300" s="2">
        <v>136961.0</v>
      </c>
      <c r="J300" s="2">
        <v>15465.0</v>
      </c>
      <c r="K300" s="5">
        <f t="shared" si="1"/>
        <v>3</v>
      </c>
    </row>
    <row r="301">
      <c r="A301" s="1" t="s">
        <v>322</v>
      </c>
      <c r="B301" s="4">
        <v>45642.0</v>
      </c>
      <c r="C301" s="2">
        <v>2453490.0</v>
      </c>
      <c r="D301" s="3">
        <v>11.42</v>
      </c>
      <c r="E301" s="1">
        <v>48.0</v>
      </c>
      <c r="F301" s="1" t="s">
        <v>19</v>
      </c>
      <c r="G301" s="1" t="s">
        <v>22</v>
      </c>
      <c r="H301" s="1" t="s">
        <v>14</v>
      </c>
      <c r="I301" s="2">
        <v>396933.0</v>
      </c>
      <c r="J301" s="2">
        <v>40369.0</v>
      </c>
      <c r="K301" s="5">
        <f t="shared" si="1"/>
        <v>12</v>
      </c>
    </row>
    <row r="302">
      <c r="C302" s="6"/>
      <c r="D302" s="7"/>
      <c r="I302" s="6"/>
      <c r="J302" s="6"/>
    </row>
    <row r="303">
      <c r="C303" s="6"/>
      <c r="D303" s="7"/>
      <c r="I303" s="6"/>
      <c r="J303" s="6"/>
    </row>
    <row r="304">
      <c r="C304" s="6"/>
      <c r="D304" s="7"/>
      <c r="I304" s="6"/>
      <c r="J304" s="6"/>
    </row>
    <row r="305">
      <c r="C305" s="6"/>
      <c r="D305" s="7"/>
      <c r="I305" s="6"/>
      <c r="J305" s="6"/>
    </row>
    <row r="306">
      <c r="C306" s="6"/>
      <c r="D306" s="7"/>
      <c r="I306" s="6"/>
      <c r="J306" s="6"/>
    </row>
    <row r="307">
      <c r="C307" s="6"/>
      <c r="D307" s="7"/>
      <c r="I307" s="6"/>
      <c r="J307" s="6"/>
    </row>
    <row r="308">
      <c r="C308" s="6"/>
      <c r="D308" s="7"/>
      <c r="I308" s="6"/>
      <c r="J308" s="6"/>
    </row>
    <row r="309">
      <c r="C309" s="6"/>
      <c r="D309" s="7"/>
      <c r="I309" s="6"/>
      <c r="J309" s="6"/>
    </row>
    <row r="310">
      <c r="C310" s="6"/>
      <c r="D310" s="7"/>
      <c r="I310" s="6"/>
      <c r="J310" s="6"/>
    </row>
    <row r="311">
      <c r="C311" s="6"/>
      <c r="D311" s="7"/>
      <c r="I311" s="6"/>
      <c r="J311" s="6"/>
    </row>
    <row r="312">
      <c r="C312" s="6"/>
      <c r="D312" s="7"/>
      <c r="I312" s="6"/>
      <c r="J312" s="6"/>
    </row>
    <row r="313">
      <c r="C313" s="6"/>
      <c r="D313" s="7"/>
      <c r="I313" s="6"/>
      <c r="J313" s="6"/>
    </row>
    <row r="314">
      <c r="C314" s="6"/>
      <c r="D314" s="7"/>
      <c r="I314" s="6"/>
      <c r="J314" s="6"/>
    </row>
    <row r="315">
      <c r="C315" s="6"/>
      <c r="D315" s="7"/>
      <c r="I315" s="6"/>
      <c r="J315" s="6"/>
    </row>
    <row r="316">
      <c r="C316" s="6"/>
      <c r="D316" s="7"/>
      <c r="I316" s="6"/>
      <c r="J316" s="6"/>
    </row>
    <row r="317">
      <c r="C317" s="6"/>
      <c r="D317" s="7"/>
      <c r="I317" s="6"/>
      <c r="J317" s="6"/>
    </row>
    <row r="318">
      <c r="C318" s="6"/>
      <c r="D318" s="7"/>
      <c r="I318" s="6"/>
      <c r="J318" s="6"/>
    </row>
    <row r="319">
      <c r="C319" s="6"/>
      <c r="D319" s="7"/>
      <c r="I319" s="6"/>
      <c r="J319" s="6"/>
    </row>
    <row r="320">
      <c r="C320" s="6"/>
      <c r="D320" s="7"/>
      <c r="I320" s="6"/>
      <c r="J320" s="6"/>
    </row>
    <row r="321">
      <c r="C321" s="6"/>
      <c r="D321" s="7"/>
      <c r="I321" s="6"/>
      <c r="J321" s="6"/>
    </row>
    <row r="322">
      <c r="C322" s="6"/>
      <c r="D322" s="7"/>
      <c r="I322" s="6"/>
      <c r="J322" s="6"/>
    </row>
    <row r="323">
      <c r="C323" s="6"/>
      <c r="D323" s="7"/>
      <c r="I323" s="6"/>
      <c r="J323" s="6"/>
    </row>
    <row r="324">
      <c r="C324" s="6"/>
      <c r="D324" s="7"/>
      <c r="I324" s="6"/>
      <c r="J324" s="6"/>
    </row>
    <row r="325">
      <c r="C325" s="6"/>
      <c r="D325" s="7"/>
      <c r="I325" s="6"/>
      <c r="J325" s="6"/>
    </row>
    <row r="326">
      <c r="C326" s="6"/>
      <c r="D326" s="7"/>
      <c r="I326" s="6"/>
      <c r="J326" s="6"/>
    </row>
    <row r="327">
      <c r="C327" s="6"/>
      <c r="D327" s="7"/>
      <c r="I327" s="6"/>
      <c r="J327" s="6"/>
    </row>
    <row r="328">
      <c r="C328" s="6"/>
      <c r="D328" s="7"/>
      <c r="I328" s="6"/>
      <c r="J328" s="6"/>
    </row>
    <row r="329">
      <c r="C329" s="6"/>
      <c r="D329" s="7"/>
      <c r="I329" s="6"/>
      <c r="J329" s="6"/>
    </row>
    <row r="330">
      <c r="C330" s="6"/>
      <c r="D330" s="7"/>
      <c r="I330" s="6"/>
      <c r="J330" s="6"/>
    </row>
    <row r="331">
      <c r="C331" s="6"/>
      <c r="D331" s="7"/>
      <c r="I331" s="6"/>
      <c r="J331" s="6"/>
    </row>
    <row r="332">
      <c r="C332" s="6"/>
      <c r="D332" s="7"/>
      <c r="I332" s="6"/>
      <c r="J332" s="6"/>
    </row>
    <row r="333">
      <c r="C333" s="6"/>
      <c r="D333" s="7"/>
      <c r="I333" s="6"/>
      <c r="J333" s="6"/>
    </row>
    <row r="334">
      <c r="C334" s="6"/>
      <c r="D334" s="7"/>
      <c r="I334" s="6"/>
      <c r="J334" s="6"/>
    </row>
    <row r="335">
      <c r="C335" s="6"/>
      <c r="D335" s="7"/>
      <c r="I335" s="6"/>
      <c r="J335" s="6"/>
    </row>
    <row r="336">
      <c r="C336" s="6"/>
      <c r="D336" s="7"/>
      <c r="I336" s="6"/>
      <c r="J336" s="6"/>
    </row>
    <row r="337">
      <c r="C337" s="6"/>
      <c r="D337" s="7"/>
      <c r="I337" s="6"/>
      <c r="J337" s="6"/>
    </row>
    <row r="338">
      <c r="C338" s="6"/>
      <c r="D338" s="7"/>
      <c r="I338" s="6"/>
      <c r="J338" s="6"/>
    </row>
    <row r="339">
      <c r="C339" s="6"/>
      <c r="D339" s="7"/>
      <c r="I339" s="6"/>
      <c r="J339" s="6"/>
    </row>
    <row r="340">
      <c r="C340" s="6"/>
      <c r="D340" s="7"/>
      <c r="I340" s="6"/>
      <c r="J340" s="6"/>
    </row>
    <row r="341">
      <c r="C341" s="6"/>
      <c r="D341" s="7"/>
      <c r="I341" s="6"/>
      <c r="J341" s="6"/>
    </row>
    <row r="342">
      <c r="C342" s="6"/>
      <c r="D342" s="7"/>
      <c r="I342" s="6"/>
      <c r="J342" s="6"/>
    </row>
    <row r="343">
      <c r="C343" s="6"/>
      <c r="D343" s="7"/>
      <c r="I343" s="6"/>
      <c r="J343" s="6"/>
    </row>
    <row r="344">
      <c r="C344" s="6"/>
      <c r="D344" s="7"/>
      <c r="I344" s="6"/>
      <c r="J344" s="6"/>
    </row>
    <row r="345">
      <c r="C345" s="6"/>
      <c r="D345" s="7"/>
      <c r="I345" s="6"/>
      <c r="J345" s="6"/>
    </row>
    <row r="346">
      <c r="C346" s="6"/>
      <c r="D346" s="7"/>
      <c r="I346" s="6"/>
      <c r="J346" s="6"/>
    </row>
    <row r="347">
      <c r="C347" s="6"/>
      <c r="D347" s="7"/>
      <c r="I347" s="6"/>
      <c r="J347" s="6"/>
    </row>
    <row r="348">
      <c r="C348" s="6"/>
      <c r="D348" s="7"/>
      <c r="I348" s="6"/>
      <c r="J348" s="6"/>
    </row>
    <row r="349">
      <c r="C349" s="6"/>
      <c r="D349" s="7"/>
      <c r="I349" s="6"/>
      <c r="J349" s="6"/>
    </row>
    <row r="350">
      <c r="C350" s="6"/>
      <c r="D350" s="7"/>
      <c r="I350" s="6"/>
      <c r="J350" s="6"/>
    </row>
    <row r="351">
      <c r="C351" s="6"/>
      <c r="D351" s="7"/>
      <c r="I351" s="6"/>
      <c r="J351" s="6"/>
    </row>
    <row r="352">
      <c r="C352" s="6"/>
      <c r="D352" s="7"/>
      <c r="I352" s="6"/>
      <c r="J352" s="6"/>
    </row>
    <row r="353">
      <c r="C353" s="6"/>
      <c r="D353" s="7"/>
      <c r="I353" s="6"/>
      <c r="J353" s="6"/>
    </row>
    <row r="354">
      <c r="C354" s="6"/>
      <c r="D354" s="7"/>
      <c r="I354" s="6"/>
      <c r="J354" s="6"/>
    </row>
    <row r="355">
      <c r="C355" s="6"/>
      <c r="D355" s="7"/>
      <c r="I355" s="6"/>
      <c r="J355" s="6"/>
    </row>
    <row r="356">
      <c r="C356" s="6"/>
      <c r="D356" s="7"/>
      <c r="I356" s="6"/>
      <c r="J356" s="6"/>
    </row>
    <row r="357">
      <c r="C357" s="6"/>
      <c r="D357" s="7"/>
      <c r="I357" s="6"/>
      <c r="J357" s="6"/>
    </row>
    <row r="358">
      <c r="C358" s="6"/>
      <c r="D358" s="7"/>
      <c r="I358" s="6"/>
      <c r="J358" s="6"/>
    </row>
    <row r="359">
      <c r="C359" s="6"/>
      <c r="D359" s="7"/>
      <c r="I359" s="6"/>
      <c r="J359" s="6"/>
    </row>
    <row r="360">
      <c r="C360" s="6"/>
      <c r="D360" s="7"/>
      <c r="I360" s="6"/>
      <c r="J360" s="6"/>
    </row>
    <row r="361">
      <c r="C361" s="6"/>
      <c r="D361" s="7"/>
      <c r="I361" s="6"/>
      <c r="J361" s="6"/>
    </row>
    <row r="362">
      <c r="C362" s="6"/>
      <c r="D362" s="7"/>
      <c r="I362" s="6"/>
      <c r="J362" s="6"/>
    </row>
    <row r="363">
      <c r="C363" s="6"/>
      <c r="D363" s="7"/>
      <c r="I363" s="6"/>
      <c r="J363" s="6"/>
    </row>
    <row r="364">
      <c r="C364" s="6"/>
      <c r="D364" s="7"/>
      <c r="I364" s="6"/>
      <c r="J364" s="6"/>
    </row>
    <row r="365">
      <c r="C365" s="6"/>
      <c r="D365" s="7"/>
      <c r="I365" s="6"/>
      <c r="J365" s="6"/>
    </row>
    <row r="366">
      <c r="C366" s="6"/>
      <c r="D366" s="7"/>
      <c r="I366" s="6"/>
      <c r="J366" s="6"/>
    </row>
    <row r="367">
      <c r="C367" s="6"/>
      <c r="D367" s="7"/>
      <c r="I367" s="6"/>
      <c r="J367" s="6"/>
    </row>
    <row r="368">
      <c r="C368" s="6"/>
      <c r="D368" s="7"/>
      <c r="I368" s="6"/>
      <c r="J368" s="6"/>
    </row>
    <row r="369">
      <c r="C369" s="6"/>
      <c r="D369" s="7"/>
      <c r="I369" s="6"/>
      <c r="J369" s="6"/>
    </row>
    <row r="370">
      <c r="C370" s="6"/>
      <c r="D370" s="7"/>
      <c r="I370" s="6"/>
      <c r="J370" s="6"/>
    </row>
    <row r="371">
      <c r="C371" s="6"/>
      <c r="D371" s="7"/>
      <c r="I371" s="6"/>
      <c r="J371" s="6"/>
    </row>
    <row r="372">
      <c r="C372" s="6"/>
      <c r="D372" s="7"/>
      <c r="I372" s="6"/>
      <c r="J372" s="6"/>
    </row>
    <row r="373">
      <c r="C373" s="6"/>
      <c r="D373" s="7"/>
      <c r="I373" s="6"/>
      <c r="J373" s="6"/>
    </row>
    <row r="374">
      <c r="C374" s="6"/>
      <c r="D374" s="7"/>
      <c r="I374" s="6"/>
      <c r="J374" s="6"/>
    </row>
    <row r="375">
      <c r="C375" s="6"/>
      <c r="D375" s="7"/>
      <c r="I375" s="6"/>
      <c r="J375" s="6"/>
    </row>
    <row r="376">
      <c r="C376" s="6"/>
      <c r="D376" s="7"/>
      <c r="I376" s="6"/>
      <c r="J376" s="6"/>
    </row>
    <row r="377">
      <c r="C377" s="6"/>
      <c r="D377" s="7"/>
      <c r="I377" s="6"/>
      <c r="J377" s="6"/>
    </row>
    <row r="378">
      <c r="C378" s="6"/>
      <c r="D378" s="7"/>
      <c r="I378" s="6"/>
      <c r="J378" s="6"/>
    </row>
    <row r="379">
      <c r="C379" s="6"/>
      <c r="D379" s="7"/>
      <c r="I379" s="6"/>
      <c r="J379" s="6"/>
    </row>
    <row r="380">
      <c r="C380" s="6"/>
      <c r="D380" s="7"/>
      <c r="I380" s="6"/>
      <c r="J380" s="6"/>
    </row>
    <row r="381">
      <c r="C381" s="6"/>
      <c r="D381" s="7"/>
      <c r="I381" s="6"/>
      <c r="J381" s="6"/>
    </row>
    <row r="382">
      <c r="C382" s="6"/>
      <c r="D382" s="7"/>
      <c r="I382" s="6"/>
      <c r="J382" s="6"/>
    </row>
    <row r="383">
      <c r="C383" s="6"/>
      <c r="D383" s="7"/>
      <c r="I383" s="6"/>
      <c r="J383" s="6"/>
    </row>
    <row r="384">
      <c r="C384" s="6"/>
      <c r="D384" s="7"/>
      <c r="I384" s="6"/>
      <c r="J384" s="6"/>
    </row>
    <row r="385">
      <c r="C385" s="6"/>
      <c r="D385" s="7"/>
      <c r="I385" s="6"/>
      <c r="J385" s="6"/>
    </row>
    <row r="386">
      <c r="C386" s="6"/>
      <c r="D386" s="7"/>
      <c r="I386" s="6"/>
      <c r="J386" s="6"/>
    </row>
    <row r="387">
      <c r="C387" s="6"/>
      <c r="D387" s="7"/>
      <c r="I387" s="6"/>
      <c r="J387" s="6"/>
    </row>
    <row r="388">
      <c r="C388" s="6"/>
      <c r="D388" s="7"/>
      <c r="I388" s="6"/>
      <c r="J388" s="6"/>
    </row>
    <row r="389">
      <c r="C389" s="6"/>
      <c r="D389" s="7"/>
      <c r="I389" s="6"/>
      <c r="J389" s="6"/>
    </row>
    <row r="390">
      <c r="C390" s="6"/>
      <c r="D390" s="7"/>
      <c r="I390" s="6"/>
      <c r="J390" s="6"/>
    </row>
    <row r="391">
      <c r="C391" s="6"/>
      <c r="D391" s="7"/>
      <c r="I391" s="6"/>
      <c r="J391" s="6"/>
    </row>
    <row r="392">
      <c r="C392" s="6"/>
      <c r="D392" s="7"/>
      <c r="I392" s="6"/>
      <c r="J392" s="6"/>
    </row>
    <row r="393">
      <c r="C393" s="6"/>
      <c r="D393" s="7"/>
      <c r="I393" s="6"/>
      <c r="J393" s="6"/>
    </row>
    <row r="394">
      <c r="C394" s="6"/>
      <c r="D394" s="7"/>
      <c r="I394" s="6"/>
      <c r="J394" s="6"/>
    </row>
    <row r="395">
      <c r="C395" s="6"/>
      <c r="D395" s="7"/>
      <c r="I395" s="6"/>
      <c r="J395" s="6"/>
    </row>
    <row r="396">
      <c r="C396" s="6"/>
      <c r="D396" s="7"/>
      <c r="I396" s="6"/>
      <c r="J396" s="6"/>
    </row>
    <row r="397">
      <c r="C397" s="6"/>
      <c r="D397" s="7"/>
      <c r="I397" s="6"/>
      <c r="J397" s="6"/>
    </row>
    <row r="398">
      <c r="C398" s="6"/>
      <c r="D398" s="7"/>
      <c r="I398" s="6"/>
      <c r="J398" s="6"/>
    </row>
    <row r="399">
      <c r="C399" s="6"/>
      <c r="D399" s="7"/>
      <c r="I399" s="6"/>
      <c r="J399" s="6"/>
    </row>
    <row r="400">
      <c r="C400" s="6"/>
      <c r="D400" s="7"/>
      <c r="I400" s="6"/>
      <c r="J400" s="6"/>
    </row>
    <row r="401">
      <c r="C401" s="6"/>
      <c r="D401" s="7"/>
      <c r="I401" s="6"/>
      <c r="J401" s="6"/>
    </row>
    <row r="402">
      <c r="C402" s="6"/>
      <c r="D402" s="7"/>
      <c r="I402" s="6"/>
      <c r="J402" s="6"/>
    </row>
    <row r="403">
      <c r="C403" s="6"/>
      <c r="D403" s="7"/>
      <c r="I403" s="6"/>
      <c r="J403" s="6"/>
    </row>
    <row r="404">
      <c r="C404" s="6"/>
      <c r="D404" s="7"/>
      <c r="I404" s="6"/>
      <c r="J404" s="6"/>
    </row>
    <row r="405">
      <c r="C405" s="6"/>
      <c r="D405" s="7"/>
      <c r="I405" s="6"/>
      <c r="J405" s="6"/>
    </row>
    <row r="406">
      <c r="C406" s="6"/>
      <c r="D406" s="7"/>
      <c r="I406" s="6"/>
      <c r="J406" s="6"/>
    </row>
    <row r="407">
      <c r="C407" s="6"/>
      <c r="D407" s="7"/>
      <c r="I407" s="6"/>
      <c r="J407" s="6"/>
    </row>
    <row r="408">
      <c r="C408" s="6"/>
      <c r="D408" s="7"/>
      <c r="I408" s="6"/>
      <c r="J408" s="6"/>
    </row>
    <row r="409">
      <c r="C409" s="6"/>
      <c r="D409" s="7"/>
      <c r="I409" s="6"/>
      <c r="J409" s="6"/>
    </row>
    <row r="410">
      <c r="C410" s="6"/>
      <c r="D410" s="7"/>
      <c r="I410" s="6"/>
      <c r="J410" s="6"/>
    </row>
    <row r="411">
      <c r="C411" s="6"/>
      <c r="D411" s="7"/>
      <c r="I411" s="6"/>
      <c r="J411" s="6"/>
    </row>
    <row r="412">
      <c r="C412" s="6"/>
      <c r="D412" s="7"/>
      <c r="I412" s="6"/>
      <c r="J412" s="6"/>
    </row>
    <row r="413">
      <c r="C413" s="6"/>
      <c r="D413" s="7"/>
      <c r="I413" s="6"/>
      <c r="J413" s="6"/>
    </row>
    <row r="414">
      <c r="C414" s="6"/>
      <c r="D414" s="7"/>
      <c r="I414" s="6"/>
      <c r="J414" s="6"/>
    </row>
    <row r="415">
      <c r="C415" s="6"/>
      <c r="D415" s="7"/>
      <c r="I415" s="6"/>
      <c r="J415" s="6"/>
    </row>
    <row r="416">
      <c r="C416" s="6"/>
      <c r="D416" s="7"/>
      <c r="I416" s="6"/>
      <c r="J416" s="6"/>
    </row>
    <row r="417">
      <c r="C417" s="6"/>
      <c r="D417" s="7"/>
      <c r="I417" s="6"/>
      <c r="J417" s="6"/>
    </row>
    <row r="418">
      <c r="C418" s="6"/>
      <c r="D418" s="7"/>
      <c r="I418" s="6"/>
      <c r="J418" s="6"/>
    </row>
    <row r="419">
      <c r="C419" s="6"/>
      <c r="D419" s="7"/>
      <c r="I419" s="6"/>
      <c r="J419" s="6"/>
    </row>
    <row r="420">
      <c r="C420" s="6"/>
      <c r="D420" s="7"/>
      <c r="I420" s="6"/>
      <c r="J420" s="6"/>
    </row>
    <row r="421">
      <c r="C421" s="6"/>
      <c r="D421" s="7"/>
      <c r="I421" s="6"/>
      <c r="J421" s="6"/>
    </row>
    <row r="422">
      <c r="C422" s="6"/>
      <c r="D422" s="7"/>
      <c r="I422" s="6"/>
      <c r="J422" s="6"/>
    </row>
    <row r="423">
      <c r="C423" s="6"/>
      <c r="D423" s="7"/>
      <c r="I423" s="6"/>
      <c r="J423" s="6"/>
    </row>
    <row r="424">
      <c r="C424" s="6"/>
      <c r="D424" s="7"/>
      <c r="I424" s="6"/>
      <c r="J424" s="6"/>
    </row>
    <row r="425">
      <c r="C425" s="6"/>
      <c r="D425" s="7"/>
      <c r="I425" s="6"/>
      <c r="J425" s="6"/>
    </row>
    <row r="426">
      <c r="C426" s="6"/>
      <c r="D426" s="7"/>
      <c r="I426" s="6"/>
      <c r="J426" s="6"/>
    </row>
    <row r="427">
      <c r="C427" s="6"/>
      <c r="D427" s="7"/>
      <c r="I427" s="6"/>
      <c r="J427" s="6"/>
    </row>
    <row r="428">
      <c r="C428" s="6"/>
      <c r="D428" s="7"/>
      <c r="I428" s="6"/>
      <c r="J428" s="6"/>
    </row>
    <row r="429">
      <c r="C429" s="6"/>
      <c r="D429" s="7"/>
      <c r="I429" s="6"/>
      <c r="J429" s="6"/>
    </row>
    <row r="430">
      <c r="C430" s="6"/>
      <c r="D430" s="7"/>
      <c r="I430" s="6"/>
      <c r="J430" s="6"/>
    </row>
    <row r="431">
      <c r="C431" s="6"/>
      <c r="D431" s="7"/>
      <c r="I431" s="6"/>
      <c r="J431" s="6"/>
    </row>
    <row r="432">
      <c r="C432" s="6"/>
      <c r="D432" s="7"/>
      <c r="I432" s="6"/>
      <c r="J432" s="6"/>
    </row>
    <row r="433">
      <c r="C433" s="6"/>
      <c r="D433" s="7"/>
      <c r="I433" s="6"/>
      <c r="J433" s="6"/>
    </row>
    <row r="434">
      <c r="C434" s="6"/>
      <c r="D434" s="7"/>
      <c r="I434" s="6"/>
      <c r="J434" s="6"/>
    </row>
    <row r="435">
      <c r="C435" s="6"/>
      <c r="D435" s="7"/>
      <c r="I435" s="6"/>
      <c r="J435" s="6"/>
    </row>
    <row r="436">
      <c r="C436" s="6"/>
      <c r="D436" s="7"/>
      <c r="I436" s="6"/>
      <c r="J436" s="6"/>
    </row>
    <row r="437">
      <c r="C437" s="6"/>
      <c r="D437" s="7"/>
      <c r="I437" s="6"/>
      <c r="J437" s="6"/>
    </row>
    <row r="438">
      <c r="C438" s="6"/>
      <c r="D438" s="7"/>
      <c r="I438" s="6"/>
      <c r="J438" s="6"/>
    </row>
    <row r="439">
      <c r="C439" s="6"/>
      <c r="D439" s="7"/>
      <c r="I439" s="6"/>
      <c r="J439" s="6"/>
    </row>
    <row r="440">
      <c r="C440" s="6"/>
      <c r="D440" s="7"/>
      <c r="I440" s="6"/>
      <c r="J440" s="6"/>
    </row>
    <row r="441">
      <c r="C441" s="6"/>
      <c r="D441" s="7"/>
      <c r="I441" s="6"/>
      <c r="J441" s="6"/>
    </row>
    <row r="442">
      <c r="C442" s="6"/>
      <c r="D442" s="7"/>
      <c r="I442" s="6"/>
      <c r="J442" s="6"/>
    </row>
    <row r="443">
      <c r="C443" s="6"/>
      <c r="D443" s="7"/>
      <c r="I443" s="6"/>
      <c r="J443" s="6"/>
    </row>
    <row r="444">
      <c r="C444" s="6"/>
      <c r="D444" s="7"/>
      <c r="I444" s="6"/>
      <c r="J444" s="6"/>
    </row>
    <row r="445">
      <c r="C445" s="6"/>
      <c r="D445" s="7"/>
      <c r="I445" s="6"/>
      <c r="J445" s="6"/>
    </row>
    <row r="446">
      <c r="C446" s="6"/>
      <c r="D446" s="7"/>
      <c r="I446" s="6"/>
      <c r="J446" s="6"/>
    </row>
    <row r="447">
      <c r="C447" s="6"/>
      <c r="D447" s="7"/>
      <c r="I447" s="6"/>
      <c r="J447" s="6"/>
    </row>
    <row r="448">
      <c r="C448" s="6"/>
      <c r="D448" s="7"/>
      <c r="I448" s="6"/>
      <c r="J448" s="6"/>
    </row>
    <row r="449">
      <c r="C449" s="6"/>
      <c r="D449" s="7"/>
      <c r="I449" s="6"/>
      <c r="J449" s="6"/>
    </row>
    <row r="450">
      <c r="C450" s="6"/>
      <c r="D450" s="7"/>
      <c r="I450" s="6"/>
      <c r="J450" s="6"/>
    </row>
    <row r="451">
      <c r="C451" s="6"/>
      <c r="D451" s="7"/>
      <c r="I451" s="6"/>
      <c r="J451" s="6"/>
    </row>
    <row r="452">
      <c r="C452" s="6"/>
      <c r="D452" s="7"/>
      <c r="I452" s="6"/>
      <c r="J452" s="6"/>
    </row>
    <row r="453">
      <c r="C453" s="6"/>
      <c r="D453" s="7"/>
      <c r="I453" s="6"/>
      <c r="J453" s="6"/>
    </row>
    <row r="454">
      <c r="C454" s="6"/>
      <c r="D454" s="7"/>
      <c r="I454" s="6"/>
      <c r="J454" s="6"/>
    </row>
    <row r="455">
      <c r="C455" s="6"/>
      <c r="D455" s="7"/>
      <c r="I455" s="6"/>
      <c r="J455" s="6"/>
    </row>
    <row r="456">
      <c r="C456" s="6"/>
      <c r="D456" s="7"/>
      <c r="I456" s="6"/>
      <c r="J456" s="6"/>
    </row>
    <row r="457">
      <c r="C457" s="6"/>
      <c r="D457" s="7"/>
      <c r="I457" s="6"/>
      <c r="J457" s="6"/>
    </row>
    <row r="458">
      <c r="C458" s="6"/>
      <c r="D458" s="7"/>
      <c r="I458" s="6"/>
      <c r="J458" s="6"/>
    </row>
    <row r="459">
      <c r="C459" s="6"/>
      <c r="D459" s="7"/>
      <c r="I459" s="6"/>
      <c r="J459" s="6"/>
    </row>
    <row r="460">
      <c r="C460" s="6"/>
      <c r="D460" s="7"/>
      <c r="I460" s="6"/>
      <c r="J460" s="6"/>
    </row>
    <row r="461">
      <c r="C461" s="6"/>
      <c r="D461" s="7"/>
      <c r="I461" s="6"/>
      <c r="J461" s="6"/>
    </row>
    <row r="462">
      <c r="C462" s="6"/>
      <c r="D462" s="7"/>
      <c r="I462" s="6"/>
      <c r="J462" s="6"/>
    </row>
    <row r="463">
      <c r="C463" s="6"/>
      <c r="D463" s="7"/>
      <c r="I463" s="6"/>
      <c r="J463" s="6"/>
    </row>
    <row r="464">
      <c r="C464" s="6"/>
      <c r="D464" s="7"/>
      <c r="I464" s="6"/>
      <c r="J464" s="6"/>
    </row>
    <row r="465">
      <c r="C465" s="6"/>
      <c r="D465" s="7"/>
      <c r="I465" s="6"/>
      <c r="J465" s="6"/>
    </row>
    <row r="466">
      <c r="C466" s="6"/>
      <c r="D466" s="7"/>
      <c r="I466" s="6"/>
      <c r="J466" s="6"/>
    </row>
    <row r="467">
      <c r="C467" s="6"/>
      <c r="D467" s="7"/>
      <c r="I467" s="6"/>
      <c r="J467" s="6"/>
    </row>
    <row r="468">
      <c r="C468" s="6"/>
      <c r="D468" s="7"/>
      <c r="I468" s="6"/>
      <c r="J468" s="6"/>
    </row>
    <row r="469">
      <c r="C469" s="6"/>
      <c r="D469" s="7"/>
      <c r="I469" s="6"/>
      <c r="J469" s="6"/>
    </row>
    <row r="470">
      <c r="C470" s="6"/>
      <c r="D470" s="7"/>
      <c r="I470" s="6"/>
      <c r="J470" s="6"/>
    </row>
    <row r="471">
      <c r="C471" s="6"/>
      <c r="D471" s="7"/>
      <c r="I471" s="6"/>
      <c r="J471" s="6"/>
    </row>
    <row r="472">
      <c r="C472" s="6"/>
      <c r="D472" s="7"/>
      <c r="I472" s="6"/>
      <c r="J472" s="6"/>
    </row>
    <row r="473">
      <c r="C473" s="6"/>
      <c r="D473" s="7"/>
      <c r="I473" s="6"/>
      <c r="J473" s="6"/>
    </row>
    <row r="474">
      <c r="C474" s="6"/>
      <c r="D474" s="7"/>
      <c r="I474" s="6"/>
      <c r="J474" s="6"/>
    </row>
    <row r="475">
      <c r="C475" s="6"/>
      <c r="D475" s="7"/>
      <c r="I475" s="6"/>
      <c r="J475" s="6"/>
    </row>
    <row r="476">
      <c r="C476" s="6"/>
      <c r="D476" s="7"/>
      <c r="I476" s="6"/>
      <c r="J476" s="6"/>
    </row>
    <row r="477">
      <c r="C477" s="6"/>
      <c r="D477" s="7"/>
      <c r="I477" s="6"/>
      <c r="J477" s="6"/>
    </row>
    <row r="478">
      <c r="C478" s="6"/>
      <c r="D478" s="7"/>
      <c r="I478" s="6"/>
      <c r="J478" s="6"/>
    </row>
    <row r="479">
      <c r="C479" s="6"/>
      <c r="D479" s="7"/>
      <c r="I479" s="6"/>
      <c r="J479" s="6"/>
    </row>
    <row r="480">
      <c r="C480" s="6"/>
      <c r="D480" s="7"/>
      <c r="I480" s="6"/>
      <c r="J480" s="6"/>
    </row>
    <row r="481">
      <c r="C481" s="6"/>
      <c r="D481" s="7"/>
      <c r="I481" s="6"/>
      <c r="J481" s="6"/>
    </row>
    <row r="482">
      <c r="C482" s="6"/>
      <c r="D482" s="7"/>
      <c r="I482" s="6"/>
      <c r="J482" s="6"/>
    </row>
    <row r="483">
      <c r="C483" s="6"/>
      <c r="D483" s="7"/>
      <c r="I483" s="6"/>
      <c r="J483" s="6"/>
    </row>
    <row r="484">
      <c r="C484" s="6"/>
      <c r="D484" s="7"/>
      <c r="I484" s="6"/>
      <c r="J484" s="6"/>
    </row>
    <row r="485">
      <c r="C485" s="6"/>
      <c r="D485" s="7"/>
      <c r="I485" s="6"/>
      <c r="J485" s="6"/>
    </row>
    <row r="486">
      <c r="C486" s="6"/>
      <c r="D486" s="7"/>
      <c r="I486" s="6"/>
      <c r="J486" s="6"/>
    </row>
    <row r="487">
      <c r="C487" s="6"/>
      <c r="D487" s="7"/>
      <c r="I487" s="6"/>
      <c r="J487" s="6"/>
    </row>
    <row r="488">
      <c r="C488" s="6"/>
      <c r="D488" s="7"/>
      <c r="I488" s="6"/>
      <c r="J488" s="6"/>
    </row>
    <row r="489">
      <c r="C489" s="6"/>
      <c r="D489" s="7"/>
      <c r="I489" s="6"/>
      <c r="J489" s="6"/>
    </row>
    <row r="490">
      <c r="C490" s="6"/>
      <c r="D490" s="7"/>
      <c r="I490" s="6"/>
      <c r="J490" s="6"/>
    </row>
    <row r="491">
      <c r="C491" s="6"/>
      <c r="D491" s="7"/>
      <c r="I491" s="6"/>
      <c r="J491" s="6"/>
    </row>
    <row r="492">
      <c r="C492" s="6"/>
      <c r="D492" s="7"/>
      <c r="I492" s="6"/>
      <c r="J492" s="6"/>
    </row>
    <row r="493">
      <c r="C493" s="6"/>
      <c r="D493" s="7"/>
      <c r="I493" s="6"/>
      <c r="J493" s="6"/>
    </row>
    <row r="494">
      <c r="C494" s="6"/>
      <c r="D494" s="7"/>
      <c r="I494" s="6"/>
      <c r="J494" s="6"/>
    </row>
    <row r="495">
      <c r="C495" s="6"/>
      <c r="D495" s="7"/>
      <c r="I495" s="6"/>
      <c r="J495" s="6"/>
    </row>
    <row r="496">
      <c r="C496" s="6"/>
      <c r="D496" s="7"/>
      <c r="I496" s="6"/>
      <c r="J496" s="6"/>
    </row>
    <row r="497">
      <c r="C497" s="6"/>
      <c r="D497" s="7"/>
      <c r="I497" s="6"/>
      <c r="J497" s="6"/>
    </row>
    <row r="498">
      <c r="C498" s="6"/>
      <c r="D498" s="7"/>
      <c r="I498" s="6"/>
      <c r="J498" s="6"/>
    </row>
    <row r="499">
      <c r="C499" s="6"/>
      <c r="D499" s="7"/>
      <c r="I499" s="6"/>
      <c r="J499" s="6"/>
    </row>
    <row r="500">
      <c r="C500" s="6"/>
      <c r="D500" s="7"/>
      <c r="I500" s="6"/>
      <c r="J500" s="6"/>
    </row>
    <row r="501">
      <c r="C501" s="6"/>
      <c r="D501" s="7"/>
      <c r="I501" s="6"/>
      <c r="J501" s="6"/>
    </row>
    <row r="502">
      <c r="C502" s="6"/>
      <c r="D502" s="7"/>
      <c r="I502" s="6"/>
      <c r="J502" s="6"/>
    </row>
    <row r="503">
      <c r="C503" s="6"/>
      <c r="D503" s="7"/>
      <c r="I503" s="6"/>
      <c r="J503" s="6"/>
    </row>
    <row r="504">
      <c r="C504" s="6"/>
      <c r="D504" s="7"/>
      <c r="I504" s="6"/>
      <c r="J504" s="6"/>
    </row>
    <row r="505">
      <c r="C505" s="6"/>
      <c r="D505" s="7"/>
      <c r="I505" s="6"/>
      <c r="J505" s="6"/>
    </row>
    <row r="506">
      <c r="C506" s="6"/>
      <c r="D506" s="7"/>
      <c r="I506" s="6"/>
      <c r="J506" s="6"/>
    </row>
    <row r="507">
      <c r="C507" s="6"/>
      <c r="D507" s="7"/>
      <c r="I507" s="6"/>
      <c r="J507" s="6"/>
    </row>
    <row r="508">
      <c r="C508" s="6"/>
      <c r="D508" s="7"/>
      <c r="I508" s="6"/>
      <c r="J508" s="6"/>
    </row>
    <row r="509">
      <c r="C509" s="6"/>
      <c r="D509" s="7"/>
      <c r="I509" s="6"/>
      <c r="J509" s="6"/>
    </row>
    <row r="510">
      <c r="C510" s="6"/>
      <c r="D510" s="7"/>
      <c r="I510" s="6"/>
      <c r="J510" s="6"/>
    </row>
    <row r="511">
      <c r="C511" s="6"/>
      <c r="D511" s="7"/>
      <c r="I511" s="6"/>
      <c r="J511" s="6"/>
    </row>
    <row r="512">
      <c r="C512" s="6"/>
      <c r="D512" s="7"/>
      <c r="I512" s="6"/>
      <c r="J512" s="6"/>
    </row>
    <row r="513">
      <c r="C513" s="6"/>
      <c r="D513" s="7"/>
      <c r="I513" s="6"/>
      <c r="J513" s="6"/>
    </row>
    <row r="514">
      <c r="C514" s="6"/>
      <c r="D514" s="7"/>
      <c r="I514" s="6"/>
      <c r="J514" s="6"/>
    </row>
    <row r="515">
      <c r="C515" s="6"/>
      <c r="D515" s="7"/>
      <c r="I515" s="6"/>
      <c r="J515" s="6"/>
    </row>
    <row r="516">
      <c r="C516" s="6"/>
      <c r="D516" s="7"/>
      <c r="I516" s="6"/>
      <c r="J516" s="6"/>
    </row>
    <row r="517">
      <c r="C517" s="6"/>
      <c r="D517" s="7"/>
      <c r="I517" s="6"/>
      <c r="J517" s="6"/>
    </row>
    <row r="518">
      <c r="C518" s="6"/>
      <c r="D518" s="7"/>
      <c r="I518" s="6"/>
      <c r="J518" s="6"/>
    </row>
    <row r="519">
      <c r="C519" s="6"/>
      <c r="D519" s="7"/>
      <c r="I519" s="6"/>
      <c r="J519" s="6"/>
    </row>
    <row r="520">
      <c r="C520" s="6"/>
      <c r="D520" s="7"/>
      <c r="I520" s="6"/>
      <c r="J520" s="6"/>
    </row>
    <row r="521">
      <c r="C521" s="6"/>
      <c r="D521" s="7"/>
      <c r="I521" s="6"/>
      <c r="J521" s="6"/>
    </row>
    <row r="522">
      <c r="C522" s="6"/>
      <c r="D522" s="7"/>
      <c r="I522" s="6"/>
      <c r="J522" s="6"/>
    </row>
    <row r="523">
      <c r="C523" s="6"/>
      <c r="D523" s="7"/>
      <c r="I523" s="6"/>
      <c r="J523" s="6"/>
    </row>
    <row r="524">
      <c r="C524" s="6"/>
      <c r="D524" s="7"/>
      <c r="I524" s="6"/>
      <c r="J524" s="6"/>
    </row>
    <row r="525">
      <c r="C525" s="6"/>
      <c r="D525" s="7"/>
      <c r="I525" s="6"/>
      <c r="J525" s="6"/>
    </row>
    <row r="526">
      <c r="C526" s="6"/>
      <c r="D526" s="7"/>
      <c r="I526" s="6"/>
      <c r="J526" s="6"/>
    </row>
    <row r="527">
      <c r="C527" s="6"/>
      <c r="D527" s="7"/>
      <c r="I527" s="6"/>
      <c r="J527" s="6"/>
    </row>
    <row r="528">
      <c r="C528" s="6"/>
      <c r="D528" s="7"/>
      <c r="I528" s="6"/>
      <c r="J528" s="6"/>
    </row>
    <row r="529">
      <c r="C529" s="6"/>
      <c r="D529" s="7"/>
      <c r="I529" s="6"/>
      <c r="J529" s="6"/>
    </row>
    <row r="530">
      <c r="C530" s="6"/>
      <c r="D530" s="7"/>
      <c r="I530" s="6"/>
      <c r="J530" s="6"/>
    </row>
    <row r="531">
      <c r="C531" s="6"/>
      <c r="D531" s="7"/>
      <c r="I531" s="6"/>
      <c r="J531" s="6"/>
    </row>
    <row r="532">
      <c r="C532" s="6"/>
      <c r="D532" s="7"/>
      <c r="I532" s="6"/>
      <c r="J532" s="6"/>
    </row>
    <row r="533">
      <c r="C533" s="6"/>
      <c r="D533" s="7"/>
      <c r="I533" s="6"/>
      <c r="J533" s="6"/>
    </row>
    <row r="534">
      <c r="C534" s="6"/>
      <c r="D534" s="7"/>
      <c r="I534" s="6"/>
      <c r="J534" s="6"/>
    </row>
    <row r="535">
      <c r="C535" s="6"/>
      <c r="D535" s="7"/>
      <c r="I535" s="6"/>
      <c r="J535" s="6"/>
    </row>
    <row r="536">
      <c r="C536" s="6"/>
      <c r="D536" s="7"/>
      <c r="I536" s="6"/>
      <c r="J536" s="6"/>
    </row>
    <row r="537">
      <c r="C537" s="6"/>
      <c r="D537" s="7"/>
      <c r="I537" s="6"/>
      <c r="J537" s="6"/>
    </row>
    <row r="538">
      <c r="C538" s="6"/>
      <c r="D538" s="7"/>
      <c r="I538" s="6"/>
      <c r="J538" s="6"/>
    </row>
    <row r="539">
      <c r="C539" s="6"/>
      <c r="D539" s="7"/>
      <c r="I539" s="6"/>
      <c r="J539" s="6"/>
    </row>
    <row r="540">
      <c r="C540" s="6"/>
      <c r="D540" s="7"/>
      <c r="I540" s="6"/>
      <c r="J540" s="6"/>
    </row>
    <row r="541">
      <c r="C541" s="6"/>
      <c r="D541" s="7"/>
      <c r="I541" s="6"/>
      <c r="J541" s="6"/>
    </row>
    <row r="542">
      <c r="C542" s="6"/>
      <c r="D542" s="7"/>
      <c r="I542" s="6"/>
      <c r="J542" s="6"/>
    </row>
    <row r="543">
      <c r="C543" s="6"/>
      <c r="D543" s="7"/>
      <c r="I543" s="6"/>
      <c r="J543" s="6"/>
    </row>
    <row r="544">
      <c r="C544" s="6"/>
      <c r="D544" s="7"/>
      <c r="I544" s="6"/>
      <c r="J544" s="6"/>
    </row>
    <row r="545">
      <c r="C545" s="6"/>
      <c r="D545" s="7"/>
      <c r="I545" s="6"/>
      <c r="J545" s="6"/>
    </row>
    <row r="546">
      <c r="C546" s="6"/>
      <c r="D546" s="7"/>
      <c r="I546" s="6"/>
      <c r="J546" s="6"/>
    </row>
    <row r="547">
      <c r="C547" s="6"/>
      <c r="D547" s="7"/>
      <c r="I547" s="6"/>
      <c r="J547" s="6"/>
    </row>
    <row r="548">
      <c r="C548" s="6"/>
      <c r="D548" s="7"/>
      <c r="I548" s="6"/>
      <c r="J548" s="6"/>
    </row>
    <row r="549">
      <c r="C549" s="6"/>
      <c r="D549" s="7"/>
      <c r="I549" s="6"/>
      <c r="J549" s="6"/>
    </row>
    <row r="550">
      <c r="C550" s="6"/>
      <c r="D550" s="7"/>
      <c r="I550" s="6"/>
      <c r="J550" s="6"/>
    </row>
    <row r="551">
      <c r="C551" s="6"/>
      <c r="D551" s="7"/>
      <c r="I551" s="6"/>
      <c r="J551" s="6"/>
    </row>
    <row r="552">
      <c r="C552" s="6"/>
      <c r="D552" s="7"/>
      <c r="I552" s="6"/>
      <c r="J552" s="6"/>
    </row>
    <row r="553">
      <c r="C553" s="6"/>
      <c r="D553" s="7"/>
      <c r="I553" s="6"/>
      <c r="J553" s="6"/>
    </row>
    <row r="554">
      <c r="C554" s="6"/>
      <c r="D554" s="7"/>
      <c r="I554" s="6"/>
      <c r="J554" s="6"/>
    </row>
    <row r="555">
      <c r="C555" s="6"/>
      <c r="D555" s="7"/>
      <c r="I555" s="6"/>
      <c r="J555" s="6"/>
    </row>
    <row r="556">
      <c r="C556" s="6"/>
      <c r="D556" s="7"/>
      <c r="I556" s="6"/>
      <c r="J556" s="6"/>
    </row>
    <row r="557">
      <c r="C557" s="6"/>
      <c r="D557" s="7"/>
      <c r="I557" s="6"/>
      <c r="J557" s="6"/>
    </row>
    <row r="558">
      <c r="C558" s="6"/>
      <c r="D558" s="7"/>
      <c r="I558" s="6"/>
      <c r="J558" s="6"/>
    </row>
    <row r="559">
      <c r="C559" s="6"/>
      <c r="D559" s="7"/>
      <c r="I559" s="6"/>
      <c r="J559" s="6"/>
    </row>
    <row r="560">
      <c r="C560" s="6"/>
      <c r="D560" s="7"/>
      <c r="I560" s="6"/>
      <c r="J560" s="6"/>
    </row>
    <row r="561">
      <c r="C561" s="6"/>
      <c r="D561" s="7"/>
      <c r="I561" s="6"/>
      <c r="J561" s="6"/>
    </row>
    <row r="562">
      <c r="C562" s="6"/>
      <c r="D562" s="7"/>
      <c r="I562" s="6"/>
      <c r="J562" s="6"/>
    </row>
    <row r="563">
      <c r="C563" s="6"/>
      <c r="D563" s="7"/>
      <c r="I563" s="6"/>
      <c r="J563" s="6"/>
    </row>
    <row r="564">
      <c r="C564" s="6"/>
      <c r="D564" s="7"/>
      <c r="I564" s="6"/>
      <c r="J564" s="6"/>
    </row>
    <row r="565">
      <c r="C565" s="6"/>
      <c r="D565" s="7"/>
      <c r="I565" s="6"/>
      <c r="J565" s="6"/>
    </row>
    <row r="566">
      <c r="C566" s="6"/>
      <c r="D566" s="7"/>
      <c r="I566" s="6"/>
      <c r="J566" s="6"/>
    </row>
    <row r="567">
      <c r="C567" s="6"/>
      <c r="D567" s="7"/>
      <c r="I567" s="6"/>
      <c r="J567" s="6"/>
    </row>
    <row r="568">
      <c r="C568" s="6"/>
      <c r="D568" s="7"/>
      <c r="I568" s="6"/>
      <c r="J568" s="6"/>
    </row>
    <row r="569">
      <c r="C569" s="6"/>
      <c r="D569" s="7"/>
      <c r="I569" s="6"/>
      <c r="J569" s="6"/>
    </row>
    <row r="570">
      <c r="C570" s="6"/>
      <c r="D570" s="7"/>
      <c r="I570" s="6"/>
      <c r="J570" s="6"/>
    </row>
    <row r="571">
      <c r="C571" s="6"/>
      <c r="D571" s="7"/>
      <c r="I571" s="6"/>
      <c r="J571" s="6"/>
    </row>
    <row r="572">
      <c r="C572" s="6"/>
      <c r="D572" s="7"/>
      <c r="I572" s="6"/>
      <c r="J572" s="6"/>
    </row>
    <row r="573">
      <c r="C573" s="6"/>
      <c r="D573" s="7"/>
      <c r="I573" s="6"/>
      <c r="J573" s="6"/>
    </row>
    <row r="574">
      <c r="C574" s="6"/>
      <c r="D574" s="7"/>
      <c r="I574" s="6"/>
      <c r="J574" s="6"/>
    </row>
    <row r="575">
      <c r="C575" s="6"/>
      <c r="D575" s="7"/>
      <c r="I575" s="6"/>
      <c r="J575" s="6"/>
    </row>
    <row r="576">
      <c r="C576" s="6"/>
      <c r="D576" s="7"/>
      <c r="I576" s="6"/>
      <c r="J576" s="6"/>
    </row>
    <row r="577">
      <c r="C577" s="6"/>
      <c r="D577" s="7"/>
      <c r="I577" s="6"/>
      <c r="J577" s="6"/>
    </row>
    <row r="578">
      <c r="C578" s="6"/>
      <c r="D578" s="7"/>
      <c r="I578" s="6"/>
      <c r="J578" s="6"/>
    </row>
    <row r="579">
      <c r="C579" s="6"/>
      <c r="D579" s="7"/>
      <c r="I579" s="6"/>
      <c r="J579" s="6"/>
    </row>
    <row r="580">
      <c r="C580" s="6"/>
      <c r="D580" s="7"/>
      <c r="I580" s="6"/>
      <c r="J580" s="6"/>
    </row>
    <row r="581">
      <c r="C581" s="6"/>
      <c r="D581" s="7"/>
      <c r="I581" s="6"/>
      <c r="J581" s="6"/>
    </row>
    <row r="582">
      <c r="C582" s="6"/>
      <c r="D582" s="7"/>
      <c r="I582" s="6"/>
      <c r="J582" s="6"/>
    </row>
    <row r="583">
      <c r="C583" s="6"/>
      <c r="D583" s="7"/>
      <c r="I583" s="6"/>
      <c r="J583" s="6"/>
    </row>
    <row r="584">
      <c r="C584" s="6"/>
      <c r="D584" s="7"/>
      <c r="I584" s="6"/>
      <c r="J584" s="6"/>
    </row>
    <row r="585">
      <c r="C585" s="6"/>
      <c r="D585" s="7"/>
      <c r="I585" s="6"/>
      <c r="J585" s="6"/>
    </row>
    <row r="586">
      <c r="C586" s="6"/>
      <c r="D586" s="7"/>
      <c r="I586" s="6"/>
      <c r="J586" s="6"/>
    </row>
    <row r="587">
      <c r="C587" s="6"/>
      <c r="D587" s="7"/>
      <c r="I587" s="6"/>
      <c r="J587" s="6"/>
    </row>
    <row r="588">
      <c r="C588" s="6"/>
      <c r="D588" s="7"/>
      <c r="I588" s="6"/>
      <c r="J588" s="6"/>
    </row>
    <row r="589">
      <c r="C589" s="6"/>
      <c r="D589" s="7"/>
      <c r="I589" s="6"/>
      <c r="J589" s="6"/>
    </row>
    <row r="590">
      <c r="C590" s="6"/>
      <c r="D590" s="7"/>
      <c r="I590" s="6"/>
      <c r="J590" s="6"/>
    </row>
    <row r="591">
      <c r="C591" s="6"/>
      <c r="D591" s="7"/>
      <c r="I591" s="6"/>
      <c r="J591" s="6"/>
    </row>
    <row r="592">
      <c r="C592" s="6"/>
      <c r="D592" s="7"/>
      <c r="I592" s="6"/>
      <c r="J592" s="6"/>
    </row>
    <row r="593">
      <c r="C593" s="6"/>
      <c r="D593" s="7"/>
      <c r="I593" s="6"/>
      <c r="J593" s="6"/>
    </row>
    <row r="594">
      <c r="C594" s="6"/>
      <c r="D594" s="7"/>
      <c r="I594" s="6"/>
      <c r="J594" s="6"/>
    </row>
    <row r="595">
      <c r="C595" s="6"/>
      <c r="D595" s="7"/>
      <c r="I595" s="6"/>
      <c r="J595" s="6"/>
    </row>
    <row r="596">
      <c r="C596" s="6"/>
      <c r="D596" s="7"/>
      <c r="I596" s="6"/>
      <c r="J596" s="6"/>
    </row>
    <row r="597">
      <c r="C597" s="6"/>
      <c r="D597" s="7"/>
      <c r="I597" s="6"/>
      <c r="J597" s="6"/>
    </row>
    <row r="598">
      <c r="C598" s="6"/>
      <c r="D598" s="7"/>
      <c r="I598" s="6"/>
      <c r="J598" s="6"/>
    </row>
    <row r="599">
      <c r="C599" s="6"/>
      <c r="D599" s="7"/>
      <c r="I599" s="6"/>
      <c r="J599" s="6"/>
    </row>
    <row r="600">
      <c r="C600" s="6"/>
      <c r="D600" s="7"/>
      <c r="I600" s="6"/>
      <c r="J600" s="6"/>
    </row>
    <row r="601">
      <c r="C601" s="6"/>
      <c r="D601" s="7"/>
      <c r="I601" s="6"/>
      <c r="J601" s="6"/>
    </row>
    <row r="602">
      <c r="C602" s="6"/>
      <c r="D602" s="7"/>
      <c r="I602" s="6"/>
      <c r="J602" s="6"/>
    </row>
    <row r="603">
      <c r="C603" s="6"/>
      <c r="D603" s="7"/>
      <c r="I603" s="6"/>
      <c r="J603" s="6"/>
    </row>
    <row r="604">
      <c r="C604" s="6"/>
      <c r="D604" s="7"/>
      <c r="I604" s="6"/>
      <c r="J604" s="6"/>
    </row>
    <row r="605">
      <c r="C605" s="6"/>
      <c r="D605" s="7"/>
      <c r="I605" s="6"/>
      <c r="J605" s="6"/>
    </row>
    <row r="606">
      <c r="C606" s="6"/>
      <c r="D606" s="7"/>
      <c r="I606" s="6"/>
      <c r="J606" s="6"/>
    </row>
    <row r="607">
      <c r="C607" s="6"/>
      <c r="D607" s="7"/>
      <c r="I607" s="6"/>
      <c r="J607" s="6"/>
    </row>
    <row r="608">
      <c r="C608" s="6"/>
      <c r="D608" s="7"/>
      <c r="I608" s="6"/>
      <c r="J608" s="6"/>
    </row>
    <row r="609">
      <c r="C609" s="6"/>
      <c r="D609" s="7"/>
      <c r="I609" s="6"/>
      <c r="J609" s="6"/>
    </row>
    <row r="610">
      <c r="C610" s="6"/>
      <c r="D610" s="7"/>
      <c r="I610" s="6"/>
      <c r="J610" s="6"/>
    </row>
    <row r="611">
      <c r="C611" s="6"/>
      <c r="D611" s="7"/>
      <c r="I611" s="6"/>
      <c r="J611" s="6"/>
    </row>
    <row r="612">
      <c r="C612" s="6"/>
      <c r="D612" s="7"/>
      <c r="I612" s="6"/>
      <c r="J612" s="6"/>
    </row>
    <row r="613">
      <c r="C613" s="6"/>
      <c r="D613" s="7"/>
      <c r="I613" s="6"/>
      <c r="J613" s="6"/>
    </row>
    <row r="614">
      <c r="C614" s="6"/>
      <c r="D614" s="7"/>
      <c r="I614" s="6"/>
      <c r="J614" s="6"/>
    </row>
    <row r="615">
      <c r="C615" s="6"/>
      <c r="D615" s="7"/>
      <c r="I615" s="6"/>
      <c r="J615" s="6"/>
    </row>
    <row r="616">
      <c r="C616" s="6"/>
      <c r="D616" s="7"/>
      <c r="I616" s="6"/>
      <c r="J616" s="6"/>
    </row>
    <row r="617">
      <c r="C617" s="6"/>
      <c r="D617" s="7"/>
      <c r="I617" s="6"/>
      <c r="J617" s="6"/>
    </row>
    <row r="618">
      <c r="C618" s="6"/>
      <c r="D618" s="7"/>
      <c r="I618" s="6"/>
      <c r="J618" s="6"/>
    </row>
    <row r="619">
      <c r="C619" s="6"/>
      <c r="D619" s="7"/>
      <c r="I619" s="6"/>
      <c r="J619" s="6"/>
    </row>
    <row r="620">
      <c r="C620" s="6"/>
      <c r="D620" s="7"/>
      <c r="I620" s="6"/>
      <c r="J620" s="6"/>
    </row>
    <row r="621">
      <c r="C621" s="6"/>
      <c r="D621" s="7"/>
      <c r="I621" s="6"/>
      <c r="J621" s="6"/>
    </row>
    <row r="622">
      <c r="C622" s="6"/>
      <c r="D622" s="7"/>
      <c r="I622" s="6"/>
      <c r="J622" s="6"/>
    </row>
    <row r="623">
      <c r="C623" s="6"/>
      <c r="D623" s="7"/>
      <c r="I623" s="6"/>
      <c r="J623" s="6"/>
    </row>
    <row r="624">
      <c r="C624" s="6"/>
      <c r="D624" s="7"/>
      <c r="I624" s="6"/>
      <c r="J624" s="6"/>
    </row>
    <row r="625">
      <c r="C625" s="6"/>
      <c r="D625" s="7"/>
      <c r="I625" s="6"/>
      <c r="J625" s="6"/>
    </row>
    <row r="626">
      <c r="C626" s="6"/>
      <c r="D626" s="7"/>
      <c r="I626" s="6"/>
      <c r="J626" s="6"/>
    </row>
    <row r="627">
      <c r="C627" s="6"/>
      <c r="D627" s="7"/>
      <c r="I627" s="6"/>
      <c r="J627" s="6"/>
    </row>
    <row r="628">
      <c r="C628" s="6"/>
      <c r="D628" s="7"/>
      <c r="I628" s="6"/>
      <c r="J628" s="6"/>
    </row>
    <row r="629">
      <c r="C629" s="6"/>
      <c r="D629" s="7"/>
      <c r="I629" s="6"/>
      <c r="J629" s="6"/>
    </row>
    <row r="630">
      <c r="C630" s="6"/>
      <c r="D630" s="7"/>
      <c r="I630" s="6"/>
      <c r="J630" s="6"/>
    </row>
    <row r="631">
      <c r="C631" s="6"/>
      <c r="D631" s="7"/>
      <c r="I631" s="6"/>
      <c r="J631" s="6"/>
    </row>
    <row r="632">
      <c r="C632" s="6"/>
      <c r="D632" s="7"/>
      <c r="I632" s="6"/>
      <c r="J632" s="6"/>
    </row>
    <row r="633">
      <c r="C633" s="6"/>
      <c r="D633" s="7"/>
      <c r="I633" s="6"/>
      <c r="J633" s="6"/>
    </row>
    <row r="634">
      <c r="C634" s="6"/>
      <c r="D634" s="7"/>
      <c r="I634" s="6"/>
      <c r="J634" s="6"/>
    </row>
    <row r="635">
      <c r="C635" s="6"/>
      <c r="D635" s="7"/>
      <c r="I635" s="6"/>
      <c r="J635" s="6"/>
    </row>
    <row r="636">
      <c r="C636" s="6"/>
      <c r="D636" s="7"/>
      <c r="I636" s="6"/>
      <c r="J636" s="6"/>
    </row>
    <row r="637">
      <c r="C637" s="6"/>
      <c r="D637" s="7"/>
      <c r="I637" s="6"/>
      <c r="J637" s="6"/>
    </row>
    <row r="638">
      <c r="C638" s="6"/>
      <c r="D638" s="7"/>
      <c r="I638" s="6"/>
      <c r="J638" s="6"/>
    </row>
    <row r="639">
      <c r="C639" s="6"/>
      <c r="D639" s="7"/>
      <c r="I639" s="6"/>
      <c r="J639" s="6"/>
    </row>
    <row r="640">
      <c r="C640" s="6"/>
      <c r="D640" s="7"/>
      <c r="I640" s="6"/>
      <c r="J640" s="6"/>
    </row>
    <row r="641">
      <c r="C641" s="6"/>
      <c r="D641" s="7"/>
      <c r="I641" s="6"/>
      <c r="J641" s="6"/>
    </row>
    <row r="642">
      <c r="C642" s="6"/>
      <c r="D642" s="7"/>
      <c r="I642" s="6"/>
      <c r="J642" s="6"/>
    </row>
    <row r="643">
      <c r="C643" s="6"/>
      <c r="D643" s="7"/>
      <c r="I643" s="6"/>
      <c r="J643" s="6"/>
    </row>
    <row r="644">
      <c r="C644" s="6"/>
      <c r="D644" s="7"/>
      <c r="I644" s="6"/>
      <c r="J644" s="6"/>
    </row>
    <row r="645">
      <c r="C645" s="6"/>
      <c r="D645" s="7"/>
      <c r="I645" s="6"/>
      <c r="J645" s="6"/>
    </row>
    <row r="646">
      <c r="C646" s="6"/>
      <c r="D646" s="7"/>
      <c r="I646" s="6"/>
      <c r="J646" s="6"/>
    </row>
    <row r="647">
      <c r="C647" s="6"/>
      <c r="D647" s="7"/>
      <c r="I647" s="6"/>
      <c r="J647" s="6"/>
    </row>
    <row r="648">
      <c r="C648" s="6"/>
      <c r="D648" s="7"/>
      <c r="I648" s="6"/>
      <c r="J648" s="6"/>
    </row>
    <row r="649">
      <c r="C649" s="6"/>
      <c r="D649" s="7"/>
      <c r="I649" s="6"/>
      <c r="J649" s="6"/>
    </row>
    <row r="650">
      <c r="C650" s="6"/>
      <c r="D650" s="7"/>
      <c r="I650" s="6"/>
      <c r="J650" s="6"/>
    </row>
    <row r="651">
      <c r="C651" s="6"/>
      <c r="D651" s="7"/>
      <c r="I651" s="6"/>
      <c r="J651" s="6"/>
    </row>
    <row r="652">
      <c r="C652" s="6"/>
      <c r="D652" s="7"/>
      <c r="I652" s="6"/>
      <c r="J652" s="6"/>
    </row>
    <row r="653">
      <c r="C653" s="6"/>
      <c r="D653" s="7"/>
      <c r="I653" s="6"/>
      <c r="J653" s="6"/>
    </row>
    <row r="654">
      <c r="C654" s="6"/>
      <c r="D654" s="7"/>
      <c r="I654" s="6"/>
      <c r="J654" s="6"/>
    </row>
    <row r="655">
      <c r="C655" s="6"/>
      <c r="D655" s="7"/>
      <c r="I655" s="6"/>
      <c r="J655" s="6"/>
    </row>
    <row r="656">
      <c r="C656" s="6"/>
      <c r="D656" s="7"/>
      <c r="I656" s="6"/>
      <c r="J656" s="6"/>
    </row>
    <row r="657">
      <c r="C657" s="6"/>
      <c r="D657" s="7"/>
      <c r="I657" s="6"/>
      <c r="J657" s="6"/>
    </row>
    <row r="658">
      <c r="C658" s="6"/>
      <c r="D658" s="7"/>
      <c r="I658" s="6"/>
      <c r="J658" s="6"/>
    </row>
    <row r="659">
      <c r="C659" s="6"/>
      <c r="D659" s="7"/>
      <c r="I659" s="6"/>
      <c r="J659" s="6"/>
    </row>
    <row r="660">
      <c r="C660" s="6"/>
      <c r="D660" s="7"/>
      <c r="I660" s="6"/>
      <c r="J660" s="6"/>
    </row>
    <row r="661">
      <c r="C661" s="6"/>
      <c r="D661" s="7"/>
      <c r="I661" s="6"/>
      <c r="J661" s="6"/>
    </row>
    <row r="662">
      <c r="C662" s="6"/>
      <c r="D662" s="7"/>
      <c r="I662" s="6"/>
      <c r="J662" s="6"/>
    </row>
    <row r="663">
      <c r="C663" s="6"/>
      <c r="D663" s="7"/>
      <c r="I663" s="6"/>
      <c r="J663" s="6"/>
    </row>
    <row r="664">
      <c r="C664" s="6"/>
      <c r="D664" s="7"/>
      <c r="I664" s="6"/>
      <c r="J664" s="6"/>
    </row>
    <row r="665">
      <c r="C665" s="6"/>
      <c r="D665" s="7"/>
      <c r="I665" s="6"/>
      <c r="J665" s="6"/>
    </row>
    <row r="666">
      <c r="C666" s="6"/>
      <c r="D666" s="7"/>
      <c r="I666" s="6"/>
      <c r="J666" s="6"/>
    </row>
    <row r="667">
      <c r="C667" s="6"/>
      <c r="D667" s="7"/>
      <c r="I667" s="6"/>
      <c r="J667" s="6"/>
    </row>
    <row r="668">
      <c r="C668" s="6"/>
      <c r="D668" s="7"/>
      <c r="I668" s="6"/>
      <c r="J668" s="6"/>
    </row>
    <row r="669">
      <c r="C669" s="6"/>
      <c r="D669" s="7"/>
      <c r="I669" s="6"/>
      <c r="J669" s="6"/>
    </row>
    <row r="670">
      <c r="C670" s="6"/>
      <c r="D670" s="7"/>
      <c r="I670" s="6"/>
      <c r="J670" s="6"/>
    </row>
    <row r="671">
      <c r="C671" s="6"/>
      <c r="D671" s="7"/>
      <c r="I671" s="6"/>
      <c r="J671" s="6"/>
    </row>
    <row r="672">
      <c r="C672" s="6"/>
      <c r="D672" s="7"/>
      <c r="I672" s="6"/>
      <c r="J672" s="6"/>
    </row>
    <row r="673">
      <c r="C673" s="6"/>
      <c r="D673" s="7"/>
      <c r="I673" s="6"/>
      <c r="J673" s="6"/>
    </row>
    <row r="674">
      <c r="C674" s="6"/>
      <c r="D674" s="7"/>
      <c r="I674" s="6"/>
      <c r="J674" s="6"/>
    </row>
    <row r="675">
      <c r="C675" s="6"/>
      <c r="D675" s="7"/>
      <c r="I675" s="6"/>
      <c r="J675" s="6"/>
    </row>
    <row r="676">
      <c r="C676" s="6"/>
      <c r="D676" s="7"/>
      <c r="I676" s="6"/>
      <c r="J676" s="6"/>
    </row>
    <row r="677">
      <c r="C677" s="6"/>
      <c r="D677" s="7"/>
      <c r="I677" s="6"/>
      <c r="J677" s="6"/>
    </row>
    <row r="678">
      <c r="C678" s="6"/>
      <c r="D678" s="7"/>
      <c r="I678" s="6"/>
      <c r="J678" s="6"/>
    </row>
    <row r="679">
      <c r="C679" s="6"/>
      <c r="D679" s="7"/>
      <c r="I679" s="6"/>
      <c r="J679" s="6"/>
    </row>
    <row r="680">
      <c r="C680" s="6"/>
      <c r="D680" s="7"/>
      <c r="I680" s="6"/>
      <c r="J680" s="6"/>
    </row>
    <row r="681">
      <c r="C681" s="6"/>
      <c r="D681" s="7"/>
      <c r="I681" s="6"/>
      <c r="J681" s="6"/>
    </row>
    <row r="682">
      <c r="C682" s="6"/>
      <c r="D682" s="7"/>
      <c r="I682" s="6"/>
      <c r="J682" s="6"/>
    </row>
    <row r="683">
      <c r="C683" s="6"/>
      <c r="D683" s="7"/>
      <c r="I683" s="6"/>
      <c r="J683" s="6"/>
    </row>
    <row r="684">
      <c r="C684" s="6"/>
      <c r="D684" s="7"/>
      <c r="I684" s="6"/>
      <c r="J684" s="6"/>
    </row>
    <row r="685">
      <c r="C685" s="6"/>
      <c r="D685" s="7"/>
      <c r="I685" s="6"/>
      <c r="J685" s="6"/>
    </row>
    <row r="686">
      <c r="C686" s="6"/>
      <c r="D686" s="7"/>
      <c r="I686" s="6"/>
      <c r="J686" s="6"/>
    </row>
    <row r="687">
      <c r="C687" s="6"/>
      <c r="D687" s="7"/>
      <c r="I687" s="6"/>
      <c r="J687" s="6"/>
    </row>
    <row r="688">
      <c r="C688" s="6"/>
      <c r="D688" s="7"/>
      <c r="I688" s="6"/>
      <c r="J688" s="6"/>
    </row>
    <row r="689">
      <c r="C689" s="6"/>
      <c r="D689" s="7"/>
      <c r="I689" s="6"/>
      <c r="J689" s="6"/>
    </row>
    <row r="690">
      <c r="C690" s="6"/>
      <c r="D690" s="7"/>
      <c r="I690" s="6"/>
      <c r="J690" s="6"/>
    </row>
    <row r="691">
      <c r="C691" s="6"/>
      <c r="D691" s="7"/>
      <c r="I691" s="6"/>
      <c r="J691" s="6"/>
    </row>
    <row r="692">
      <c r="C692" s="6"/>
      <c r="D692" s="7"/>
      <c r="I692" s="6"/>
      <c r="J692" s="6"/>
    </row>
    <row r="693">
      <c r="C693" s="6"/>
      <c r="D693" s="7"/>
      <c r="I693" s="6"/>
      <c r="J693" s="6"/>
    </row>
    <row r="694">
      <c r="C694" s="6"/>
      <c r="D694" s="7"/>
      <c r="I694" s="6"/>
      <c r="J694" s="6"/>
    </row>
    <row r="695">
      <c r="C695" s="6"/>
      <c r="D695" s="7"/>
      <c r="I695" s="6"/>
      <c r="J695" s="6"/>
    </row>
    <row r="696">
      <c r="C696" s="6"/>
      <c r="D696" s="7"/>
      <c r="I696" s="6"/>
      <c r="J696" s="6"/>
    </row>
    <row r="697">
      <c r="C697" s="6"/>
      <c r="D697" s="7"/>
      <c r="I697" s="6"/>
      <c r="J697" s="6"/>
    </row>
    <row r="698">
      <c r="C698" s="6"/>
      <c r="D698" s="7"/>
      <c r="I698" s="6"/>
      <c r="J698" s="6"/>
    </row>
    <row r="699">
      <c r="C699" s="6"/>
      <c r="D699" s="7"/>
      <c r="I699" s="6"/>
      <c r="J699" s="6"/>
    </row>
    <row r="700">
      <c r="C700" s="6"/>
      <c r="D700" s="7"/>
      <c r="I700" s="6"/>
      <c r="J700" s="6"/>
    </row>
    <row r="701">
      <c r="C701" s="6"/>
      <c r="D701" s="7"/>
      <c r="I701" s="6"/>
      <c r="J701" s="6"/>
    </row>
    <row r="702">
      <c r="C702" s="6"/>
      <c r="D702" s="7"/>
      <c r="I702" s="6"/>
      <c r="J702" s="6"/>
    </row>
    <row r="703">
      <c r="C703" s="6"/>
      <c r="D703" s="7"/>
      <c r="I703" s="6"/>
      <c r="J703" s="6"/>
    </row>
    <row r="704">
      <c r="C704" s="6"/>
      <c r="D704" s="7"/>
      <c r="I704" s="6"/>
      <c r="J704" s="6"/>
    </row>
    <row r="705">
      <c r="C705" s="6"/>
      <c r="D705" s="7"/>
      <c r="I705" s="6"/>
      <c r="J705" s="6"/>
    </row>
    <row r="706">
      <c r="C706" s="6"/>
      <c r="D706" s="7"/>
      <c r="I706" s="6"/>
      <c r="J706" s="6"/>
    </row>
    <row r="707">
      <c r="C707" s="6"/>
      <c r="D707" s="7"/>
      <c r="I707" s="6"/>
      <c r="J707" s="6"/>
    </row>
    <row r="708">
      <c r="C708" s="6"/>
      <c r="D708" s="7"/>
      <c r="I708" s="6"/>
      <c r="J708" s="6"/>
    </row>
    <row r="709">
      <c r="C709" s="6"/>
      <c r="D709" s="7"/>
      <c r="I709" s="6"/>
      <c r="J709" s="6"/>
    </row>
    <row r="710">
      <c r="C710" s="6"/>
      <c r="D710" s="7"/>
      <c r="I710" s="6"/>
      <c r="J710" s="6"/>
    </row>
    <row r="711">
      <c r="C711" s="6"/>
      <c r="D711" s="7"/>
      <c r="I711" s="6"/>
      <c r="J711" s="6"/>
    </row>
    <row r="712">
      <c r="C712" s="6"/>
      <c r="D712" s="7"/>
      <c r="I712" s="6"/>
      <c r="J712" s="6"/>
    </row>
    <row r="713">
      <c r="C713" s="6"/>
      <c r="D713" s="7"/>
      <c r="I713" s="6"/>
      <c r="J713" s="6"/>
    </row>
    <row r="714">
      <c r="C714" s="6"/>
      <c r="D714" s="7"/>
      <c r="I714" s="6"/>
      <c r="J714" s="6"/>
    </row>
    <row r="715">
      <c r="C715" s="6"/>
      <c r="D715" s="7"/>
      <c r="I715" s="6"/>
      <c r="J715" s="6"/>
    </row>
    <row r="716">
      <c r="C716" s="6"/>
      <c r="D716" s="7"/>
      <c r="I716" s="6"/>
      <c r="J716" s="6"/>
    </row>
    <row r="717">
      <c r="C717" s="6"/>
      <c r="D717" s="7"/>
      <c r="I717" s="6"/>
      <c r="J717" s="6"/>
    </row>
    <row r="718">
      <c r="C718" s="6"/>
      <c r="D718" s="7"/>
      <c r="I718" s="6"/>
      <c r="J718" s="6"/>
    </row>
    <row r="719">
      <c r="C719" s="6"/>
      <c r="D719" s="7"/>
      <c r="I719" s="6"/>
      <c r="J719" s="6"/>
    </row>
    <row r="720">
      <c r="C720" s="6"/>
      <c r="D720" s="7"/>
      <c r="I720" s="6"/>
      <c r="J720" s="6"/>
    </row>
    <row r="721">
      <c r="C721" s="6"/>
      <c r="D721" s="7"/>
      <c r="I721" s="6"/>
      <c r="J721" s="6"/>
    </row>
    <row r="722">
      <c r="C722" s="6"/>
      <c r="D722" s="7"/>
      <c r="I722" s="6"/>
      <c r="J722" s="6"/>
    </row>
    <row r="723">
      <c r="C723" s="6"/>
      <c r="D723" s="7"/>
      <c r="I723" s="6"/>
      <c r="J723" s="6"/>
    </row>
    <row r="724">
      <c r="C724" s="6"/>
      <c r="D724" s="7"/>
      <c r="I724" s="6"/>
      <c r="J724" s="6"/>
    </row>
    <row r="725">
      <c r="C725" s="6"/>
      <c r="D725" s="7"/>
      <c r="I725" s="6"/>
      <c r="J725" s="6"/>
    </row>
    <row r="726">
      <c r="C726" s="6"/>
      <c r="D726" s="7"/>
      <c r="I726" s="6"/>
      <c r="J726" s="6"/>
    </row>
    <row r="727">
      <c r="C727" s="6"/>
      <c r="D727" s="7"/>
      <c r="I727" s="6"/>
      <c r="J727" s="6"/>
    </row>
    <row r="728">
      <c r="C728" s="6"/>
      <c r="D728" s="7"/>
      <c r="I728" s="6"/>
      <c r="J728" s="6"/>
    </row>
    <row r="729">
      <c r="C729" s="6"/>
      <c r="D729" s="7"/>
      <c r="I729" s="6"/>
      <c r="J729" s="6"/>
    </row>
    <row r="730">
      <c r="C730" s="6"/>
      <c r="D730" s="7"/>
      <c r="I730" s="6"/>
      <c r="J730" s="6"/>
    </row>
    <row r="731">
      <c r="C731" s="6"/>
      <c r="D731" s="7"/>
      <c r="I731" s="6"/>
      <c r="J731" s="6"/>
    </row>
    <row r="732">
      <c r="C732" s="6"/>
      <c r="D732" s="7"/>
      <c r="I732" s="6"/>
      <c r="J732" s="6"/>
    </row>
    <row r="733">
      <c r="C733" s="6"/>
      <c r="D733" s="7"/>
      <c r="I733" s="6"/>
      <c r="J733" s="6"/>
    </row>
    <row r="734">
      <c r="C734" s="6"/>
      <c r="D734" s="7"/>
      <c r="I734" s="6"/>
      <c r="J734" s="6"/>
    </row>
    <row r="735">
      <c r="C735" s="6"/>
      <c r="D735" s="7"/>
      <c r="I735" s="6"/>
      <c r="J735" s="6"/>
    </row>
    <row r="736">
      <c r="C736" s="6"/>
      <c r="D736" s="7"/>
      <c r="I736" s="6"/>
      <c r="J736" s="6"/>
    </row>
    <row r="737">
      <c r="C737" s="6"/>
      <c r="D737" s="7"/>
      <c r="I737" s="6"/>
      <c r="J737" s="6"/>
    </row>
    <row r="738">
      <c r="C738" s="6"/>
      <c r="D738" s="7"/>
      <c r="I738" s="6"/>
      <c r="J738" s="6"/>
    </row>
    <row r="739">
      <c r="C739" s="6"/>
      <c r="D739" s="7"/>
      <c r="I739" s="6"/>
      <c r="J739" s="6"/>
    </row>
    <row r="740">
      <c r="C740" s="6"/>
      <c r="D740" s="7"/>
      <c r="I740" s="6"/>
      <c r="J740" s="6"/>
    </row>
    <row r="741">
      <c r="C741" s="6"/>
      <c r="D741" s="7"/>
      <c r="I741" s="6"/>
      <c r="J741" s="6"/>
    </row>
    <row r="742">
      <c r="C742" s="6"/>
      <c r="D742" s="7"/>
      <c r="I742" s="6"/>
      <c r="J742" s="6"/>
    </row>
    <row r="743">
      <c r="C743" s="6"/>
      <c r="D743" s="7"/>
      <c r="I743" s="6"/>
      <c r="J743" s="6"/>
    </row>
    <row r="744">
      <c r="C744" s="6"/>
      <c r="D744" s="7"/>
      <c r="I744" s="6"/>
      <c r="J744" s="6"/>
    </row>
    <row r="745">
      <c r="C745" s="6"/>
      <c r="D745" s="7"/>
      <c r="I745" s="6"/>
      <c r="J745" s="6"/>
    </row>
    <row r="746">
      <c r="C746" s="6"/>
      <c r="D746" s="7"/>
      <c r="I746" s="6"/>
      <c r="J746" s="6"/>
    </row>
    <row r="747">
      <c r="C747" s="6"/>
      <c r="D747" s="7"/>
      <c r="I747" s="6"/>
      <c r="J747" s="6"/>
    </row>
    <row r="748">
      <c r="C748" s="6"/>
      <c r="D748" s="7"/>
      <c r="I748" s="6"/>
      <c r="J748" s="6"/>
    </row>
    <row r="749">
      <c r="C749" s="6"/>
      <c r="D749" s="7"/>
      <c r="I749" s="6"/>
      <c r="J749" s="6"/>
    </row>
    <row r="750">
      <c r="C750" s="6"/>
      <c r="D750" s="7"/>
      <c r="I750" s="6"/>
      <c r="J750" s="6"/>
    </row>
    <row r="751">
      <c r="C751" s="6"/>
      <c r="D751" s="7"/>
      <c r="I751" s="6"/>
      <c r="J751" s="6"/>
    </row>
    <row r="752">
      <c r="C752" s="6"/>
      <c r="D752" s="7"/>
      <c r="I752" s="6"/>
      <c r="J752" s="6"/>
    </row>
    <row r="753">
      <c r="C753" s="6"/>
      <c r="D753" s="7"/>
      <c r="I753" s="6"/>
      <c r="J753" s="6"/>
    </row>
    <row r="754">
      <c r="C754" s="6"/>
      <c r="D754" s="7"/>
      <c r="I754" s="6"/>
      <c r="J754" s="6"/>
    </row>
    <row r="755">
      <c r="C755" s="6"/>
      <c r="D755" s="7"/>
      <c r="I755" s="6"/>
      <c r="J755" s="6"/>
    </row>
    <row r="756">
      <c r="C756" s="6"/>
      <c r="D756" s="7"/>
      <c r="I756" s="6"/>
      <c r="J756" s="6"/>
    </row>
    <row r="757">
      <c r="C757" s="6"/>
      <c r="D757" s="7"/>
      <c r="I757" s="6"/>
      <c r="J757" s="6"/>
    </row>
    <row r="758">
      <c r="C758" s="6"/>
      <c r="D758" s="7"/>
      <c r="I758" s="6"/>
      <c r="J758" s="6"/>
    </row>
    <row r="759">
      <c r="C759" s="6"/>
      <c r="D759" s="7"/>
      <c r="I759" s="6"/>
      <c r="J759" s="6"/>
    </row>
    <row r="760">
      <c r="C760" s="6"/>
      <c r="D760" s="7"/>
      <c r="I760" s="6"/>
      <c r="J760" s="6"/>
    </row>
    <row r="761">
      <c r="C761" s="6"/>
      <c r="D761" s="7"/>
      <c r="I761" s="6"/>
      <c r="J761" s="6"/>
    </row>
    <row r="762">
      <c r="C762" s="6"/>
      <c r="D762" s="7"/>
      <c r="I762" s="6"/>
      <c r="J762" s="6"/>
    </row>
    <row r="763">
      <c r="C763" s="6"/>
      <c r="D763" s="7"/>
      <c r="I763" s="6"/>
      <c r="J763" s="6"/>
    </row>
    <row r="764">
      <c r="C764" s="6"/>
      <c r="D764" s="7"/>
      <c r="I764" s="6"/>
      <c r="J764" s="6"/>
    </row>
    <row r="765">
      <c r="C765" s="6"/>
      <c r="D765" s="7"/>
      <c r="I765" s="6"/>
      <c r="J765" s="6"/>
    </row>
    <row r="766">
      <c r="C766" s="6"/>
      <c r="D766" s="7"/>
      <c r="I766" s="6"/>
      <c r="J766" s="6"/>
    </row>
    <row r="767">
      <c r="C767" s="6"/>
      <c r="D767" s="7"/>
      <c r="I767" s="6"/>
      <c r="J767" s="6"/>
    </row>
    <row r="768">
      <c r="C768" s="6"/>
      <c r="D768" s="7"/>
      <c r="I768" s="6"/>
      <c r="J768" s="6"/>
    </row>
    <row r="769">
      <c r="C769" s="6"/>
      <c r="D769" s="7"/>
      <c r="I769" s="6"/>
      <c r="J769" s="6"/>
    </row>
    <row r="770">
      <c r="C770" s="6"/>
      <c r="D770" s="7"/>
      <c r="I770" s="6"/>
      <c r="J770" s="6"/>
    </row>
    <row r="771">
      <c r="C771" s="6"/>
      <c r="D771" s="7"/>
      <c r="I771" s="6"/>
      <c r="J771" s="6"/>
    </row>
    <row r="772">
      <c r="C772" s="6"/>
      <c r="D772" s="7"/>
      <c r="I772" s="6"/>
      <c r="J772" s="6"/>
    </row>
    <row r="773">
      <c r="C773" s="6"/>
      <c r="D773" s="7"/>
      <c r="I773" s="6"/>
      <c r="J773" s="6"/>
    </row>
    <row r="774">
      <c r="C774" s="6"/>
      <c r="D774" s="7"/>
      <c r="I774" s="6"/>
      <c r="J774" s="6"/>
    </row>
    <row r="775">
      <c r="C775" s="6"/>
      <c r="D775" s="7"/>
      <c r="I775" s="6"/>
      <c r="J775" s="6"/>
    </row>
    <row r="776">
      <c r="C776" s="6"/>
      <c r="D776" s="7"/>
      <c r="I776" s="6"/>
      <c r="J776" s="6"/>
    </row>
    <row r="777">
      <c r="C777" s="6"/>
      <c r="D777" s="7"/>
      <c r="I777" s="6"/>
      <c r="J777" s="6"/>
    </row>
    <row r="778">
      <c r="C778" s="6"/>
      <c r="D778" s="7"/>
      <c r="I778" s="6"/>
      <c r="J778" s="6"/>
    </row>
    <row r="779">
      <c r="C779" s="6"/>
      <c r="D779" s="7"/>
      <c r="I779" s="6"/>
      <c r="J779" s="6"/>
    </row>
    <row r="780">
      <c r="C780" s="6"/>
      <c r="D780" s="7"/>
      <c r="I780" s="6"/>
      <c r="J780" s="6"/>
    </row>
    <row r="781">
      <c r="C781" s="6"/>
      <c r="D781" s="7"/>
      <c r="I781" s="6"/>
      <c r="J781" s="6"/>
    </row>
    <row r="782">
      <c r="C782" s="6"/>
      <c r="D782" s="7"/>
      <c r="I782" s="6"/>
      <c r="J782" s="6"/>
    </row>
    <row r="783">
      <c r="C783" s="6"/>
      <c r="D783" s="7"/>
      <c r="I783" s="6"/>
      <c r="J783" s="6"/>
    </row>
    <row r="784">
      <c r="C784" s="6"/>
      <c r="D784" s="7"/>
      <c r="I784" s="6"/>
      <c r="J784" s="6"/>
    </row>
    <row r="785">
      <c r="C785" s="6"/>
      <c r="D785" s="7"/>
      <c r="I785" s="6"/>
      <c r="J785" s="6"/>
    </row>
    <row r="786">
      <c r="C786" s="6"/>
      <c r="D786" s="7"/>
      <c r="I786" s="6"/>
      <c r="J786" s="6"/>
    </row>
    <row r="787">
      <c r="C787" s="6"/>
      <c r="D787" s="7"/>
      <c r="I787" s="6"/>
      <c r="J787" s="6"/>
    </row>
    <row r="788">
      <c r="C788" s="6"/>
      <c r="D788" s="7"/>
      <c r="I788" s="6"/>
      <c r="J788" s="6"/>
    </row>
    <row r="789">
      <c r="C789" s="6"/>
      <c r="D789" s="7"/>
      <c r="I789" s="6"/>
      <c r="J789" s="6"/>
    </row>
    <row r="790">
      <c r="C790" s="6"/>
      <c r="D790" s="7"/>
      <c r="I790" s="6"/>
      <c r="J790" s="6"/>
    </row>
    <row r="791">
      <c r="C791" s="6"/>
      <c r="D791" s="7"/>
      <c r="I791" s="6"/>
      <c r="J791" s="6"/>
    </row>
    <row r="792">
      <c r="C792" s="6"/>
      <c r="D792" s="7"/>
      <c r="I792" s="6"/>
      <c r="J792" s="6"/>
    </row>
    <row r="793">
      <c r="C793" s="6"/>
      <c r="D793" s="7"/>
      <c r="I793" s="6"/>
      <c r="J793" s="6"/>
    </row>
    <row r="794">
      <c r="C794" s="6"/>
      <c r="D794" s="7"/>
      <c r="I794" s="6"/>
      <c r="J794" s="6"/>
    </row>
    <row r="795">
      <c r="C795" s="6"/>
      <c r="D795" s="7"/>
      <c r="I795" s="6"/>
      <c r="J795" s="6"/>
    </row>
    <row r="796">
      <c r="C796" s="6"/>
      <c r="D796" s="7"/>
      <c r="I796" s="6"/>
      <c r="J796" s="6"/>
    </row>
    <row r="797">
      <c r="C797" s="6"/>
      <c r="D797" s="7"/>
      <c r="I797" s="6"/>
      <c r="J797" s="6"/>
    </row>
    <row r="798">
      <c r="C798" s="6"/>
      <c r="D798" s="7"/>
      <c r="I798" s="6"/>
      <c r="J798" s="6"/>
    </row>
    <row r="799">
      <c r="C799" s="6"/>
      <c r="D799" s="7"/>
      <c r="I799" s="6"/>
      <c r="J799" s="6"/>
    </row>
    <row r="800">
      <c r="C800" s="6"/>
      <c r="D800" s="7"/>
      <c r="I800" s="6"/>
      <c r="J800" s="6"/>
    </row>
    <row r="801">
      <c r="C801" s="6"/>
      <c r="D801" s="7"/>
      <c r="I801" s="6"/>
      <c r="J801" s="6"/>
    </row>
    <row r="802">
      <c r="C802" s="6"/>
      <c r="D802" s="7"/>
      <c r="I802" s="6"/>
      <c r="J802" s="6"/>
    </row>
    <row r="803">
      <c r="C803" s="6"/>
      <c r="D803" s="7"/>
      <c r="I803" s="6"/>
      <c r="J803" s="6"/>
    </row>
    <row r="804">
      <c r="C804" s="6"/>
      <c r="D804" s="7"/>
      <c r="I804" s="6"/>
      <c r="J804" s="6"/>
    </row>
    <row r="805">
      <c r="C805" s="6"/>
      <c r="D805" s="7"/>
      <c r="I805" s="6"/>
      <c r="J805" s="6"/>
    </row>
    <row r="806">
      <c r="C806" s="6"/>
      <c r="D806" s="7"/>
      <c r="I806" s="6"/>
      <c r="J806" s="6"/>
    </row>
    <row r="807">
      <c r="C807" s="6"/>
      <c r="D807" s="7"/>
      <c r="I807" s="6"/>
      <c r="J807" s="6"/>
    </row>
    <row r="808">
      <c r="C808" s="6"/>
      <c r="D808" s="7"/>
      <c r="I808" s="6"/>
      <c r="J808" s="6"/>
    </row>
    <row r="809">
      <c r="C809" s="6"/>
      <c r="D809" s="7"/>
      <c r="I809" s="6"/>
      <c r="J809" s="6"/>
    </row>
    <row r="810">
      <c r="C810" s="6"/>
      <c r="D810" s="7"/>
      <c r="I810" s="6"/>
      <c r="J810" s="6"/>
    </row>
    <row r="811">
      <c r="C811" s="6"/>
      <c r="D811" s="7"/>
      <c r="I811" s="6"/>
      <c r="J811" s="6"/>
    </row>
    <row r="812">
      <c r="C812" s="6"/>
      <c r="D812" s="7"/>
      <c r="I812" s="6"/>
      <c r="J812" s="6"/>
    </row>
    <row r="813">
      <c r="C813" s="6"/>
      <c r="D813" s="7"/>
      <c r="I813" s="6"/>
      <c r="J813" s="6"/>
    </row>
    <row r="814">
      <c r="C814" s="6"/>
      <c r="D814" s="7"/>
      <c r="I814" s="6"/>
      <c r="J814" s="6"/>
    </row>
    <row r="815">
      <c r="C815" s="6"/>
      <c r="D815" s="7"/>
      <c r="I815" s="6"/>
      <c r="J815" s="6"/>
    </row>
    <row r="816">
      <c r="C816" s="6"/>
      <c r="D816" s="7"/>
      <c r="I816" s="6"/>
      <c r="J816" s="6"/>
    </row>
    <row r="817">
      <c r="C817" s="6"/>
      <c r="D817" s="7"/>
      <c r="I817" s="6"/>
      <c r="J817" s="6"/>
    </row>
    <row r="818">
      <c r="C818" s="6"/>
      <c r="D818" s="7"/>
      <c r="I818" s="6"/>
      <c r="J818" s="6"/>
    </row>
    <row r="819">
      <c r="C819" s="6"/>
      <c r="D819" s="7"/>
      <c r="I819" s="6"/>
      <c r="J819" s="6"/>
    </row>
    <row r="820">
      <c r="C820" s="6"/>
      <c r="D820" s="7"/>
      <c r="I820" s="6"/>
      <c r="J820" s="6"/>
    </row>
    <row r="821">
      <c r="C821" s="6"/>
      <c r="D821" s="7"/>
      <c r="I821" s="6"/>
      <c r="J821" s="6"/>
    </row>
    <row r="822">
      <c r="C822" s="6"/>
      <c r="D822" s="7"/>
      <c r="I822" s="6"/>
      <c r="J822" s="6"/>
    </row>
    <row r="823">
      <c r="C823" s="6"/>
      <c r="D823" s="7"/>
      <c r="I823" s="6"/>
      <c r="J823" s="6"/>
    </row>
    <row r="824">
      <c r="C824" s="6"/>
      <c r="D824" s="7"/>
      <c r="I824" s="6"/>
      <c r="J824" s="6"/>
    </row>
    <row r="825">
      <c r="C825" s="6"/>
      <c r="D825" s="7"/>
      <c r="I825" s="6"/>
      <c r="J825" s="6"/>
    </row>
    <row r="826">
      <c r="C826" s="6"/>
      <c r="D826" s="7"/>
      <c r="I826" s="6"/>
      <c r="J826" s="6"/>
    </row>
    <row r="827">
      <c r="C827" s="6"/>
      <c r="D827" s="7"/>
      <c r="I827" s="6"/>
      <c r="J827" s="6"/>
    </row>
    <row r="828">
      <c r="C828" s="6"/>
      <c r="D828" s="7"/>
      <c r="I828" s="6"/>
      <c r="J828" s="6"/>
    </row>
    <row r="829">
      <c r="C829" s="6"/>
      <c r="D829" s="7"/>
      <c r="I829" s="6"/>
      <c r="J829" s="6"/>
    </row>
    <row r="830">
      <c r="C830" s="6"/>
      <c r="D830" s="7"/>
      <c r="I830" s="6"/>
      <c r="J830" s="6"/>
    </row>
    <row r="831">
      <c r="C831" s="6"/>
      <c r="D831" s="7"/>
      <c r="I831" s="6"/>
      <c r="J831" s="6"/>
    </row>
    <row r="832">
      <c r="C832" s="6"/>
      <c r="D832" s="7"/>
      <c r="I832" s="6"/>
      <c r="J832" s="6"/>
    </row>
    <row r="833">
      <c r="C833" s="6"/>
      <c r="D833" s="7"/>
      <c r="I833" s="6"/>
      <c r="J833" s="6"/>
    </row>
    <row r="834">
      <c r="C834" s="6"/>
      <c r="D834" s="7"/>
      <c r="I834" s="6"/>
      <c r="J834" s="6"/>
    </row>
    <row r="835">
      <c r="C835" s="6"/>
      <c r="D835" s="7"/>
      <c r="I835" s="6"/>
      <c r="J835" s="6"/>
    </row>
    <row r="836">
      <c r="C836" s="6"/>
      <c r="D836" s="7"/>
      <c r="I836" s="6"/>
      <c r="J836" s="6"/>
    </row>
    <row r="837">
      <c r="C837" s="6"/>
      <c r="D837" s="7"/>
      <c r="I837" s="6"/>
      <c r="J837" s="6"/>
    </row>
    <row r="838">
      <c r="C838" s="6"/>
      <c r="D838" s="7"/>
      <c r="I838" s="6"/>
      <c r="J838" s="6"/>
    </row>
    <row r="839">
      <c r="C839" s="6"/>
      <c r="D839" s="7"/>
      <c r="I839" s="6"/>
      <c r="J839" s="6"/>
    </row>
    <row r="840">
      <c r="C840" s="6"/>
      <c r="D840" s="7"/>
      <c r="I840" s="6"/>
      <c r="J840" s="6"/>
    </row>
    <row r="841">
      <c r="C841" s="6"/>
      <c r="D841" s="7"/>
      <c r="I841" s="6"/>
      <c r="J841" s="6"/>
    </row>
    <row r="842">
      <c r="C842" s="6"/>
      <c r="D842" s="7"/>
      <c r="I842" s="6"/>
      <c r="J842" s="6"/>
    </row>
    <row r="843">
      <c r="C843" s="6"/>
      <c r="D843" s="7"/>
      <c r="I843" s="6"/>
      <c r="J843" s="6"/>
    </row>
    <row r="844">
      <c r="C844" s="6"/>
      <c r="D844" s="7"/>
      <c r="I844" s="6"/>
      <c r="J844" s="6"/>
    </row>
    <row r="845">
      <c r="C845" s="6"/>
      <c r="D845" s="7"/>
      <c r="I845" s="6"/>
      <c r="J845" s="6"/>
    </row>
    <row r="846">
      <c r="C846" s="6"/>
      <c r="D846" s="7"/>
      <c r="I846" s="6"/>
      <c r="J846" s="6"/>
    </row>
    <row r="847">
      <c r="C847" s="6"/>
      <c r="D847" s="7"/>
      <c r="I847" s="6"/>
      <c r="J847" s="6"/>
    </row>
    <row r="848">
      <c r="C848" s="6"/>
      <c r="D848" s="7"/>
      <c r="I848" s="6"/>
      <c r="J848" s="6"/>
    </row>
    <row r="849">
      <c r="C849" s="6"/>
      <c r="D849" s="7"/>
      <c r="I849" s="6"/>
      <c r="J849" s="6"/>
    </row>
    <row r="850">
      <c r="C850" s="6"/>
      <c r="D850" s="7"/>
      <c r="I850" s="6"/>
      <c r="J850" s="6"/>
    </row>
    <row r="851">
      <c r="C851" s="6"/>
      <c r="D851" s="7"/>
      <c r="I851" s="6"/>
      <c r="J851" s="6"/>
    </row>
    <row r="852">
      <c r="C852" s="6"/>
      <c r="D852" s="7"/>
      <c r="I852" s="6"/>
      <c r="J852" s="6"/>
    </row>
    <row r="853">
      <c r="C853" s="6"/>
      <c r="D853" s="7"/>
      <c r="I853" s="6"/>
      <c r="J853" s="6"/>
    </row>
    <row r="854">
      <c r="C854" s="6"/>
      <c r="D854" s="7"/>
      <c r="I854" s="6"/>
      <c r="J854" s="6"/>
    </row>
    <row r="855">
      <c r="C855" s="6"/>
      <c r="D855" s="7"/>
      <c r="I855" s="6"/>
      <c r="J855" s="6"/>
    </row>
    <row r="856">
      <c r="C856" s="6"/>
      <c r="D856" s="7"/>
      <c r="I856" s="6"/>
      <c r="J856" s="6"/>
    </row>
    <row r="857">
      <c r="C857" s="6"/>
      <c r="D857" s="7"/>
      <c r="I857" s="6"/>
      <c r="J857" s="6"/>
    </row>
    <row r="858">
      <c r="C858" s="6"/>
      <c r="D858" s="7"/>
      <c r="I858" s="6"/>
      <c r="J858" s="6"/>
    </row>
    <row r="859">
      <c r="C859" s="6"/>
      <c r="D859" s="7"/>
      <c r="I859" s="6"/>
      <c r="J859" s="6"/>
    </row>
    <row r="860">
      <c r="C860" s="6"/>
      <c r="D860" s="7"/>
      <c r="I860" s="6"/>
      <c r="J860" s="6"/>
    </row>
    <row r="861">
      <c r="C861" s="6"/>
      <c r="D861" s="7"/>
      <c r="I861" s="6"/>
      <c r="J861" s="6"/>
    </row>
    <row r="862">
      <c r="C862" s="6"/>
      <c r="D862" s="7"/>
      <c r="I862" s="6"/>
      <c r="J862" s="6"/>
    </row>
    <row r="863">
      <c r="C863" s="6"/>
      <c r="D863" s="7"/>
      <c r="I863" s="6"/>
      <c r="J863" s="6"/>
    </row>
    <row r="864">
      <c r="C864" s="6"/>
      <c r="D864" s="7"/>
      <c r="I864" s="6"/>
      <c r="J864" s="6"/>
    </row>
    <row r="865">
      <c r="C865" s="6"/>
      <c r="D865" s="7"/>
      <c r="I865" s="6"/>
      <c r="J865" s="6"/>
    </row>
    <row r="866">
      <c r="C866" s="6"/>
      <c r="D866" s="7"/>
      <c r="I866" s="6"/>
      <c r="J866" s="6"/>
    </row>
    <row r="867">
      <c r="C867" s="6"/>
      <c r="D867" s="7"/>
      <c r="I867" s="6"/>
      <c r="J867" s="6"/>
    </row>
    <row r="868">
      <c r="C868" s="6"/>
      <c r="D868" s="7"/>
      <c r="I868" s="6"/>
      <c r="J868" s="6"/>
    </row>
    <row r="869">
      <c r="C869" s="6"/>
      <c r="D869" s="7"/>
      <c r="I869" s="6"/>
      <c r="J869" s="6"/>
    </row>
    <row r="870">
      <c r="C870" s="6"/>
      <c r="D870" s="7"/>
      <c r="I870" s="6"/>
      <c r="J870" s="6"/>
    </row>
    <row r="871">
      <c r="C871" s="6"/>
      <c r="D871" s="7"/>
      <c r="I871" s="6"/>
      <c r="J871" s="6"/>
    </row>
    <row r="872">
      <c r="C872" s="6"/>
      <c r="D872" s="7"/>
      <c r="I872" s="6"/>
      <c r="J872" s="6"/>
    </row>
    <row r="873">
      <c r="C873" s="6"/>
      <c r="D873" s="7"/>
      <c r="I873" s="6"/>
      <c r="J873" s="6"/>
    </row>
    <row r="874">
      <c r="C874" s="6"/>
      <c r="D874" s="7"/>
      <c r="I874" s="6"/>
      <c r="J874" s="6"/>
    </row>
    <row r="875">
      <c r="C875" s="6"/>
      <c r="D875" s="7"/>
      <c r="I875" s="6"/>
      <c r="J875" s="6"/>
    </row>
    <row r="876">
      <c r="C876" s="6"/>
      <c r="D876" s="7"/>
      <c r="I876" s="6"/>
      <c r="J876" s="6"/>
    </row>
    <row r="877">
      <c r="C877" s="6"/>
      <c r="D877" s="7"/>
      <c r="I877" s="6"/>
      <c r="J877" s="6"/>
    </row>
    <row r="878">
      <c r="C878" s="6"/>
      <c r="D878" s="7"/>
      <c r="I878" s="6"/>
      <c r="J878" s="6"/>
    </row>
    <row r="879">
      <c r="C879" s="6"/>
      <c r="D879" s="7"/>
      <c r="I879" s="6"/>
      <c r="J879" s="6"/>
    </row>
    <row r="880">
      <c r="C880" s="6"/>
      <c r="D880" s="7"/>
      <c r="I880" s="6"/>
      <c r="J880" s="6"/>
    </row>
    <row r="881">
      <c r="C881" s="6"/>
      <c r="D881" s="7"/>
      <c r="I881" s="6"/>
      <c r="J881" s="6"/>
    </row>
    <row r="882">
      <c r="C882" s="6"/>
      <c r="D882" s="7"/>
      <c r="I882" s="6"/>
      <c r="J882" s="6"/>
    </row>
    <row r="883">
      <c r="C883" s="6"/>
      <c r="D883" s="7"/>
      <c r="I883" s="6"/>
      <c r="J883" s="6"/>
    </row>
    <row r="884">
      <c r="C884" s="6"/>
      <c r="D884" s="7"/>
      <c r="I884" s="6"/>
      <c r="J884" s="6"/>
    </row>
    <row r="885">
      <c r="C885" s="6"/>
      <c r="D885" s="7"/>
      <c r="I885" s="6"/>
      <c r="J885" s="6"/>
    </row>
    <row r="886">
      <c r="C886" s="6"/>
      <c r="D886" s="7"/>
      <c r="I886" s="6"/>
      <c r="J886" s="6"/>
    </row>
    <row r="887">
      <c r="C887" s="6"/>
      <c r="D887" s="7"/>
      <c r="I887" s="6"/>
      <c r="J887" s="6"/>
    </row>
    <row r="888">
      <c r="C888" s="6"/>
      <c r="D888" s="7"/>
      <c r="I888" s="6"/>
      <c r="J888" s="6"/>
    </row>
    <row r="889">
      <c r="C889" s="6"/>
      <c r="D889" s="7"/>
      <c r="I889" s="6"/>
      <c r="J889" s="6"/>
    </row>
    <row r="890">
      <c r="C890" s="6"/>
      <c r="D890" s="7"/>
      <c r="I890" s="6"/>
      <c r="J890" s="6"/>
    </row>
    <row r="891">
      <c r="C891" s="6"/>
      <c r="D891" s="7"/>
      <c r="I891" s="6"/>
      <c r="J891" s="6"/>
    </row>
    <row r="892">
      <c r="C892" s="6"/>
      <c r="D892" s="7"/>
      <c r="I892" s="6"/>
      <c r="J892" s="6"/>
    </row>
    <row r="893">
      <c r="C893" s="6"/>
      <c r="D893" s="7"/>
      <c r="I893" s="6"/>
      <c r="J893" s="6"/>
    </row>
    <row r="894">
      <c r="C894" s="6"/>
      <c r="D894" s="7"/>
      <c r="I894" s="6"/>
      <c r="J894" s="6"/>
    </row>
    <row r="895">
      <c r="C895" s="6"/>
      <c r="D895" s="7"/>
      <c r="I895" s="6"/>
      <c r="J895" s="6"/>
    </row>
    <row r="896">
      <c r="C896" s="6"/>
      <c r="D896" s="7"/>
      <c r="I896" s="6"/>
      <c r="J896" s="6"/>
    </row>
    <row r="897">
      <c r="C897" s="6"/>
      <c r="D897" s="7"/>
      <c r="I897" s="6"/>
      <c r="J897" s="6"/>
    </row>
    <row r="898">
      <c r="C898" s="6"/>
      <c r="D898" s="7"/>
      <c r="I898" s="6"/>
      <c r="J898" s="6"/>
    </row>
    <row r="899">
      <c r="C899" s="6"/>
      <c r="D899" s="7"/>
      <c r="I899" s="6"/>
      <c r="J899" s="6"/>
    </row>
    <row r="900">
      <c r="C900" s="6"/>
      <c r="D900" s="7"/>
      <c r="I900" s="6"/>
      <c r="J900" s="6"/>
    </row>
    <row r="901">
      <c r="C901" s="6"/>
      <c r="D901" s="7"/>
      <c r="I901" s="6"/>
      <c r="J901" s="6"/>
    </row>
    <row r="902">
      <c r="C902" s="6"/>
      <c r="D902" s="7"/>
      <c r="I902" s="6"/>
      <c r="J902" s="6"/>
    </row>
    <row r="903">
      <c r="C903" s="6"/>
      <c r="D903" s="7"/>
      <c r="I903" s="6"/>
      <c r="J903" s="6"/>
    </row>
    <row r="904">
      <c r="C904" s="6"/>
      <c r="D904" s="7"/>
      <c r="I904" s="6"/>
      <c r="J904" s="6"/>
    </row>
    <row r="905">
      <c r="C905" s="6"/>
      <c r="D905" s="7"/>
      <c r="I905" s="6"/>
      <c r="J905" s="6"/>
    </row>
    <row r="906">
      <c r="C906" s="6"/>
      <c r="D906" s="7"/>
      <c r="I906" s="6"/>
      <c r="J906" s="6"/>
    </row>
    <row r="907">
      <c r="C907" s="6"/>
      <c r="D907" s="7"/>
      <c r="I907" s="6"/>
      <c r="J907" s="6"/>
    </row>
    <row r="908">
      <c r="C908" s="6"/>
      <c r="D908" s="7"/>
      <c r="I908" s="6"/>
      <c r="J908" s="6"/>
    </row>
    <row r="909">
      <c r="C909" s="6"/>
      <c r="D909" s="7"/>
      <c r="I909" s="6"/>
      <c r="J909" s="6"/>
    </row>
    <row r="910">
      <c r="C910" s="6"/>
      <c r="D910" s="7"/>
      <c r="I910" s="6"/>
      <c r="J910" s="6"/>
    </row>
    <row r="911">
      <c r="C911" s="6"/>
      <c r="D911" s="7"/>
      <c r="I911" s="6"/>
      <c r="J911" s="6"/>
    </row>
    <row r="912">
      <c r="C912" s="6"/>
      <c r="D912" s="7"/>
      <c r="I912" s="6"/>
      <c r="J912" s="6"/>
    </row>
    <row r="913">
      <c r="C913" s="6"/>
      <c r="D913" s="7"/>
      <c r="I913" s="6"/>
      <c r="J913" s="6"/>
    </row>
    <row r="914">
      <c r="C914" s="6"/>
      <c r="D914" s="7"/>
      <c r="I914" s="6"/>
      <c r="J914" s="6"/>
    </row>
    <row r="915">
      <c r="C915" s="6"/>
      <c r="D915" s="7"/>
      <c r="I915" s="6"/>
      <c r="J915" s="6"/>
    </row>
    <row r="916">
      <c r="C916" s="6"/>
      <c r="D916" s="7"/>
      <c r="I916" s="6"/>
      <c r="J916" s="6"/>
    </row>
    <row r="917">
      <c r="C917" s="6"/>
      <c r="D917" s="7"/>
      <c r="I917" s="6"/>
      <c r="J917" s="6"/>
    </row>
    <row r="918">
      <c r="C918" s="6"/>
      <c r="D918" s="7"/>
      <c r="I918" s="6"/>
      <c r="J918" s="6"/>
    </row>
    <row r="919">
      <c r="C919" s="6"/>
      <c r="D919" s="7"/>
      <c r="I919" s="6"/>
      <c r="J919" s="6"/>
    </row>
    <row r="920">
      <c r="C920" s="6"/>
      <c r="D920" s="7"/>
      <c r="I920" s="6"/>
      <c r="J920" s="6"/>
    </row>
    <row r="921">
      <c r="C921" s="6"/>
      <c r="D921" s="7"/>
      <c r="I921" s="6"/>
      <c r="J921" s="6"/>
    </row>
    <row r="922">
      <c r="C922" s="6"/>
      <c r="D922" s="7"/>
      <c r="I922" s="6"/>
      <c r="J922" s="6"/>
    </row>
    <row r="923">
      <c r="C923" s="6"/>
      <c r="D923" s="7"/>
      <c r="I923" s="6"/>
      <c r="J923" s="6"/>
    </row>
    <row r="924">
      <c r="C924" s="6"/>
      <c r="D924" s="7"/>
      <c r="I924" s="6"/>
      <c r="J924" s="6"/>
    </row>
    <row r="925">
      <c r="C925" s="6"/>
      <c r="D925" s="7"/>
      <c r="I925" s="6"/>
      <c r="J925" s="6"/>
    </row>
    <row r="926">
      <c r="C926" s="6"/>
      <c r="D926" s="7"/>
      <c r="I926" s="6"/>
      <c r="J926" s="6"/>
    </row>
    <row r="927">
      <c r="C927" s="6"/>
      <c r="D927" s="7"/>
      <c r="I927" s="6"/>
      <c r="J927" s="6"/>
    </row>
    <row r="928">
      <c r="C928" s="6"/>
      <c r="D928" s="7"/>
      <c r="I928" s="6"/>
      <c r="J928" s="6"/>
    </row>
    <row r="929">
      <c r="C929" s="6"/>
      <c r="D929" s="7"/>
      <c r="I929" s="6"/>
      <c r="J929" s="6"/>
    </row>
    <row r="930">
      <c r="C930" s="6"/>
      <c r="D930" s="7"/>
      <c r="I930" s="6"/>
      <c r="J930" s="6"/>
    </row>
    <row r="931">
      <c r="C931" s="6"/>
      <c r="D931" s="7"/>
      <c r="I931" s="6"/>
      <c r="J931" s="6"/>
    </row>
    <row r="932">
      <c r="C932" s="6"/>
      <c r="D932" s="7"/>
      <c r="I932" s="6"/>
      <c r="J932" s="6"/>
    </row>
    <row r="933">
      <c r="C933" s="6"/>
      <c r="D933" s="7"/>
      <c r="I933" s="6"/>
      <c r="J933" s="6"/>
    </row>
    <row r="934">
      <c r="C934" s="6"/>
      <c r="D934" s="7"/>
      <c r="I934" s="6"/>
      <c r="J934" s="6"/>
    </row>
    <row r="935">
      <c r="C935" s="6"/>
      <c r="D935" s="7"/>
      <c r="I935" s="6"/>
      <c r="J935" s="6"/>
    </row>
    <row r="936">
      <c r="C936" s="6"/>
      <c r="D936" s="7"/>
      <c r="I936" s="6"/>
      <c r="J936" s="6"/>
    </row>
    <row r="937">
      <c r="C937" s="6"/>
      <c r="D937" s="7"/>
      <c r="I937" s="6"/>
      <c r="J937" s="6"/>
    </row>
    <row r="938">
      <c r="C938" s="6"/>
      <c r="D938" s="7"/>
      <c r="I938" s="6"/>
      <c r="J938" s="6"/>
    </row>
    <row r="939">
      <c r="C939" s="6"/>
      <c r="D939" s="7"/>
      <c r="I939" s="6"/>
      <c r="J939" s="6"/>
    </row>
    <row r="940">
      <c r="C940" s="6"/>
      <c r="D940" s="7"/>
      <c r="I940" s="6"/>
      <c r="J940" s="6"/>
    </row>
    <row r="941">
      <c r="C941" s="6"/>
      <c r="D941" s="7"/>
      <c r="I941" s="6"/>
      <c r="J941" s="6"/>
    </row>
    <row r="942">
      <c r="C942" s="6"/>
      <c r="D942" s="7"/>
      <c r="I942" s="6"/>
      <c r="J942" s="6"/>
    </row>
    <row r="943">
      <c r="C943" s="6"/>
      <c r="D943" s="7"/>
      <c r="I943" s="6"/>
      <c r="J943" s="6"/>
    </row>
    <row r="944">
      <c r="C944" s="6"/>
      <c r="D944" s="7"/>
      <c r="I944" s="6"/>
      <c r="J944" s="6"/>
    </row>
    <row r="945">
      <c r="C945" s="6"/>
      <c r="D945" s="7"/>
      <c r="I945" s="6"/>
      <c r="J945" s="6"/>
    </row>
    <row r="946">
      <c r="C946" s="6"/>
      <c r="D946" s="7"/>
      <c r="I946" s="6"/>
      <c r="J946" s="6"/>
    </row>
    <row r="947">
      <c r="C947" s="6"/>
      <c r="D947" s="7"/>
      <c r="I947" s="6"/>
      <c r="J947" s="6"/>
    </row>
    <row r="948">
      <c r="C948" s="6"/>
      <c r="D948" s="7"/>
      <c r="I948" s="6"/>
      <c r="J948" s="6"/>
    </row>
    <row r="949">
      <c r="C949" s="6"/>
      <c r="D949" s="7"/>
      <c r="I949" s="6"/>
      <c r="J949" s="6"/>
    </row>
    <row r="950">
      <c r="C950" s="6"/>
      <c r="D950" s="7"/>
      <c r="I950" s="6"/>
      <c r="J950" s="6"/>
    </row>
    <row r="951">
      <c r="C951" s="6"/>
      <c r="D951" s="7"/>
      <c r="I951" s="6"/>
      <c r="J951" s="6"/>
    </row>
    <row r="952">
      <c r="C952" s="6"/>
      <c r="D952" s="7"/>
      <c r="I952" s="6"/>
      <c r="J952" s="6"/>
    </row>
    <row r="953">
      <c r="C953" s="6"/>
      <c r="D953" s="7"/>
      <c r="I953" s="6"/>
      <c r="J953" s="6"/>
    </row>
    <row r="954">
      <c r="C954" s="6"/>
      <c r="D954" s="7"/>
      <c r="I954" s="6"/>
      <c r="J954" s="6"/>
    </row>
    <row r="955">
      <c r="C955" s="6"/>
      <c r="D955" s="7"/>
      <c r="I955" s="6"/>
      <c r="J955" s="6"/>
    </row>
    <row r="956">
      <c r="C956" s="6"/>
      <c r="D956" s="7"/>
      <c r="I956" s="6"/>
      <c r="J956" s="6"/>
    </row>
    <row r="957">
      <c r="C957" s="6"/>
      <c r="D957" s="7"/>
      <c r="I957" s="6"/>
      <c r="J957" s="6"/>
    </row>
    <row r="958">
      <c r="C958" s="6"/>
      <c r="D958" s="7"/>
      <c r="I958" s="6"/>
      <c r="J958" s="6"/>
    </row>
    <row r="959">
      <c r="C959" s="6"/>
      <c r="D959" s="7"/>
      <c r="I959" s="6"/>
      <c r="J959" s="6"/>
    </row>
    <row r="960">
      <c r="C960" s="6"/>
      <c r="D960" s="7"/>
      <c r="I960" s="6"/>
      <c r="J960" s="6"/>
    </row>
    <row r="961">
      <c r="C961" s="6"/>
      <c r="D961" s="7"/>
      <c r="I961" s="6"/>
      <c r="J961" s="6"/>
    </row>
    <row r="962">
      <c r="C962" s="6"/>
      <c r="D962" s="7"/>
      <c r="I962" s="6"/>
      <c r="J962" s="6"/>
    </row>
    <row r="963">
      <c r="C963" s="6"/>
      <c r="D963" s="7"/>
      <c r="I963" s="6"/>
      <c r="J963" s="6"/>
    </row>
    <row r="964">
      <c r="C964" s="6"/>
      <c r="D964" s="7"/>
      <c r="I964" s="6"/>
      <c r="J964" s="6"/>
    </row>
    <row r="965">
      <c r="C965" s="6"/>
      <c r="D965" s="7"/>
      <c r="I965" s="6"/>
      <c r="J965" s="6"/>
    </row>
    <row r="966">
      <c r="C966" s="6"/>
      <c r="D966" s="7"/>
      <c r="I966" s="6"/>
      <c r="J966" s="6"/>
    </row>
    <row r="967">
      <c r="C967" s="6"/>
      <c r="D967" s="7"/>
      <c r="I967" s="6"/>
      <c r="J967" s="6"/>
    </row>
    <row r="968">
      <c r="C968" s="6"/>
      <c r="D968" s="7"/>
      <c r="I968" s="6"/>
      <c r="J968" s="6"/>
    </row>
    <row r="969">
      <c r="C969" s="6"/>
      <c r="D969" s="7"/>
      <c r="I969" s="6"/>
      <c r="J969" s="6"/>
    </row>
    <row r="970">
      <c r="C970" s="6"/>
      <c r="D970" s="7"/>
      <c r="I970" s="6"/>
      <c r="J970" s="6"/>
    </row>
    <row r="971">
      <c r="C971" s="6"/>
      <c r="D971" s="7"/>
      <c r="I971" s="6"/>
      <c r="J971" s="6"/>
    </row>
    <row r="972">
      <c r="C972" s="6"/>
      <c r="D972" s="7"/>
      <c r="I972" s="6"/>
      <c r="J972" s="6"/>
    </row>
    <row r="973">
      <c r="C973" s="6"/>
      <c r="D973" s="7"/>
      <c r="I973" s="6"/>
      <c r="J973" s="6"/>
    </row>
    <row r="974">
      <c r="C974" s="6"/>
      <c r="D974" s="7"/>
      <c r="I974" s="6"/>
      <c r="J974" s="6"/>
    </row>
    <row r="975">
      <c r="C975" s="6"/>
      <c r="D975" s="7"/>
      <c r="I975" s="6"/>
      <c r="J975" s="6"/>
    </row>
    <row r="976">
      <c r="C976" s="6"/>
      <c r="D976" s="7"/>
      <c r="I976" s="6"/>
      <c r="J976" s="6"/>
    </row>
    <row r="977">
      <c r="C977" s="6"/>
      <c r="D977" s="7"/>
      <c r="I977" s="6"/>
      <c r="J977" s="6"/>
    </row>
    <row r="978">
      <c r="C978" s="6"/>
      <c r="D978" s="7"/>
      <c r="I978" s="6"/>
      <c r="J978" s="6"/>
    </row>
    <row r="979">
      <c r="C979" s="6"/>
      <c r="D979" s="7"/>
      <c r="I979" s="6"/>
      <c r="J979" s="6"/>
    </row>
    <row r="980">
      <c r="C980" s="6"/>
      <c r="D980" s="7"/>
      <c r="I980" s="6"/>
      <c r="J980" s="6"/>
    </row>
    <row r="981">
      <c r="C981" s="6"/>
      <c r="D981" s="7"/>
      <c r="I981" s="6"/>
      <c r="J981" s="6"/>
    </row>
    <row r="982">
      <c r="C982" s="6"/>
      <c r="D982" s="7"/>
      <c r="I982" s="6"/>
      <c r="J982" s="6"/>
    </row>
    <row r="983">
      <c r="C983" s="6"/>
      <c r="D983" s="7"/>
      <c r="I983" s="6"/>
      <c r="J983" s="6"/>
    </row>
    <row r="984">
      <c r="C984" s="6"/>
      <c r="D984" s="7"/>
      <c r="I984" s="6"/>
      <c r="J984" s="6"/>
    </row>
    <row r="985">
      <c r="C985" s="6"/>
      <c r="D985" s="7"/>
      <c r="I985" s="6"/>
      <c r="J985" s="6"/>
    </row>
    <row r="986">
      <c r="C986" s="6"/>
      <c r="D986" s="7"/>
      <c r="I986" s="6"/>
      <c r="J986" s="6"/>
    </row>
    <row r="987">
      <c r="C987" s="6"/>
      <c r="D987" s="7"/>
      <c r="I987" s="6"/>
      <c r="J987" s="6"/>
    </row>
    <row r="988">
      <c r="C988" s="6"/>
      <c r="D988" s="7"/>
      <c r="I988" s="6"/>
      <c r="J988" s="6"/>
    </row>
    <row r="989">
      <c r="C989" s="6"/>
      <c r="D989" s="7"/>
      <c r="I989" s="6"/>
      <c r="J989" s="6"/>
    </row>
    <row r="990">
      <c r="C990" s="6"/>
      <c r="D990" s="7"/>
      <c r="I990" s="6"/>
      <c r="J990" s="6"/>
    </row>
    <row r="991">
      <c r="C991" s="6"/>
      <c r="D991" s="7"/>
      <c r="I991" s="6"/>
      <c r="J991" s="6"/>
    </row>
    <row r="992">
      <c r="C992" s="6"/>
      <c r="D992" s="7"/>
      <c r="I992" s="6"/>
      <c r="J992" s="6"/>
    </row>
    <row r="993">
      <c r="C993" s="6"/>
      <c r="D993" s="7"/>
      <c r="I993" s="6"/>
      <c r="J993" s="6"/>
    </row>
    <row r="994">
      <c r="C994" s="6"/>
      <c r="D994" s="7"/>
      <c r="I994" s="6"/>
      <c r="J994" s="6"/>
    </row>
    <row r="995">
      <c r="C995" s="6"/>
      <c r="D995" s="7"/>
      <c r="I995" s="6"/>
      <c r="J995" s="6"/>
    </row>
    <row r="996">
      <c r="C996" s="6"/>
      <c r="D996" s="7"/>
      <c r="I996" s="6"/>
      <c r="J996" s="6"/>
    </row>
    <row r="997">
      <c r="C997" s="6"/>
      <c r="D997" s="7"/>
      <c r="I997" s="6"/>
      <c r="J997" s="6"/>
    </row>
    <row r="998">
      <c r="C998" s="6"/>
      <c r="D998" s="7"/>
      <c r="I998" s="6"/>
      <c r="J998" s="6"/>
    </row>
    <row r="999">
      <c r="C999" s="6"/>
      <c r="D999" s="7"/>
      <c r="I999" s="6"/>
      <c r="J999" s="6"/>
    </row>
    <row r="1000">
      <c r="C1000" s="6"/>
      <c r="D1000" s="7"/>
      <c r="I1000" s="6"/>
      <c r="J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20.0"/>
    <col customWidth="1" min="4" max="4" width="19.0"/>
    <col customWidth="1" min="5" max="5" width="15.88"/>
    <col customWidth="1" min="7" max="7" width="13.38"/>
  </cols>
  <sheetData>
    <row r="1">
      <c r="A1" s="1" t="s">
        <v>0</v>
      </c>
      <c r="B1" s="2" t="s">
        <v>323</v>
      </c>
      <c r="C1" s="2" t="s">
        <v>324</v>
      </c>
      <c r="D1" s="2" t="s">
        <v>325</v>
      </c>
      <c r="E1" s="2" t="s">
        <v>326</v>
      </c>
      <c r="F1" s="1" t="s">
        <v>327</v>
      </c>
      <c r="G1" s="1" t="s">
        <v>328</v>
      </c>
    </row>
    <row r="2">
      <c r="A2" s="1" t="s">
        <v>11</v>
      </c>
      <c r="B2" s="2">
        <v>305868.0</v>
      </c>
      <c r="C2" s="2">
        <v>33318.0</v>
      </c>
      <c r="D2" s="2">
        <v>299750.0</v>
      </c>
      <c r="E2" s="2">
        <v>33318.0</v>
      </c>
      <c r="F2" s="1" t="s">
        <v>329</v>
      </c>
    </row>
    <row r="3">
      <c r="A3" s="1" t="s">
        <v>15</v>
      </c>
      <c r="B3" s="2">
        <v>70319.0</v>
      </c>
      <c r="C3" s="2">
        <v>9347.0</v>
      </c>
      <c r="D3" s="2">
        <v>70754.0</v>
      </c>
      <c r="E3" s="2">
        <v>9347.0</v>
      </c>
      <c r="F3" s="1" t="s">
        <v>330</v>
      </c>
      <c r="G3" s="1" t="s">
        <v>331</v>
      </c>
    </row>
    <row r="4">
      <c r="A4" s="1" t="s">
        <v>18</v>
      </c>
      <c r="B4" s="2">
        <v>117029.0</v>
      </c>
      <c r="C4" s="2">
        <v>12951.0</v>
      </c>
      <c r="D4" s="2">
        <v>117029.0</v>
      </c>
      <c r="E4" s="2">
        <v>12951.0</v>
      </c>
      <c r="F4" s="1" t="s">
        <v>329</v>
      </c>
    </row>
    <row r="5">
      <c r="A5" s="1" t="s">
        <v>21</v>
      </c>
      <c r="B5" s="2">
        <v>19511.0</v>
      </c>
      <c r="C5" s="2">
        <v>24107.0</v>
      </c>
      <c r="D5" s="2">
        <v>19511.0</v>
      </c>
      <c r="E5" s="2">
        <v>24107.0</v>
      </c>
      <c r="F5" s="1" t="s">
        <v>329</v>
      </c>
    </row>
    <row r="6">
      <c r="A6" s="1" t="s">
        <v>23</v>
      </c>
      <c r="B6" s="2">
        <v>37798.0</v>
      </c>
      <c r="C6" s="2">
        <v>2801.0</v>
      </c>
      <c r="D6" s="2">
        <v>37798.0</v>
      </c>
      <c r="E6" s="2">
        <v>2801.0</v>
      </c>
      <c r="F6" s="1" t="s">
        <v>329</v>
      </c>
    </row>
    <row r="7">
      <c r="A7" s="1" t="s">
        <v>24</v>
      </c>
      <c r="B7" s="2">
        <v>239109.0</v>
      </c>
      <c r="C7" s="2">
        <v>45022.0</v>
      </c>
      <c r="D7" s="2">
        <v>239109.0</v>
      </c>
      <c r="E7" s="2">
        <v>45022.0</v>
      </c>
      <c r="F7" s="1" t="s">
        <v>329</v>
      </c>
    </row>
    <row r="8">
      <c r="A8" s="1" t="s">
        <v>26</v>
      </c>
      <c r="B8" s="2">
        <v>29861.0</v>
      </c>
      <c r="C8" s="2">
        <v>4583.0</v>
      </c>
      <c r="D8" s="2">
        <v>29861.0</v>
      </c>
      <c r="E8" s="2">
        <v>4583.0</v>
      </c>
      <c r="F8" s="1" t="s">
        <v>329</v>
      </c>
    </row>
    <row r="9">
      <c r="A9" s="1" t="s">
        <v>28</v>
      </c>
      <c r="B9" s="2">
        <v>187426.0</v>
      </c>
      <c r="C9" s="2">
        <v>28021.0</v>
      </c>
      <c r="D9" s="2">
        <v>112455.0</v>
      </c>
      <c r="E9" s="2">
        <v>28021.0</v>
      </c>
      <c r="F9" s="1" t="s">
        <v>330</v>
      </c>
      <c r="G9" s="1" t="s">
        <v>332</v>
      </c>
    </row>
    <row r="10">
      <c r="A10" s="1" t="s">
        <v>29</v>
      </c>
      <c r="B10" s="2">
        <v>103992.0</v>
      </c>
      <c r="C10" s="2">
        <v>34379.0</v>
      </c>
      <c r="D10" s="2">
        <v>103992.0</v>
      </c>
      <c r="E10" s="2">
        <v>34379.0</v>
      </c>
      <c r="F10" s="1" t="s">
        <v>329</v>
      </c>
    </row>
    <row r="11">
      <c r="A11" s="1" t="s">
        <v>30</v>
      </c>
      <c r="B11" s="2">
        <v>230169.0</v>
      </c>
      <c r="C11" s="2">
        <v>31790.0</v>
      </c>
      <c r="D11" s="2">
        <v>230169.0</v>
      </c>
      <c r="E11" s="2">
        <v>31790.0</v>
      </c>
      <c r="F11" s="1" t="s">
        <v>329</v>
      </c>
    </row>
    <row r="12">
      <c r="A12" s="1" t="s">
        <v>31</v>
      </c>
      <c r="B12" s="2">
        <v>319543.0</v>
      </c>
      <c r="C12" s="2">
        <v>44197.0</v>
      </c>
      <c r="D12" s="2">
        <v>335520.0</v>
      </c>
      <c r="E12" s="2">
        <v>44197.0</v>
      </c>
      <c r="F12" s="1" t="s">
        <v>330</v>
      </c>
      <c r="G12" s="1" t="s">
        <v>333</v>
      </c>
    </row>
    <row r="13">
      <c r="A13" s="1" t="s">
        <v>32</v>
      </c>
      <c r="B13" s="2">
        <v>13108.0</v>
      </c>
      <c r="C13" s="2">
        <v>3158.0</v>
      </c>
      <c r="D13" s="2">
        <v>13108.0</v>
      </c>
      <c r="E13" s="2">
        <v>3158.0</v>
      </c>
      <c r="F13" s="1" t="s">
        <v>329</v>
      </c>
    </row>
    <row r="14">
      <c r="A14" s="1" t="s">
        <v>33</v>
      </c>
      <c r="B14" s="2">
        <v>99978.0</v>
      </c>
      <c r="C14" s="2">
        <v>7766.0</v>
      </c>
      <c r="D14" s="2">
        <v>79982.0</v>
      </c>
      <c r="E14" s="2">
        <v>7766.0</v>
      </c>
      <c r="F14" s="1" t="s">
        <v>330</v>
      </c>
      <c r="G14" s="1" t="s">
        <v>334</v>
      </c>
    </row>
    <row r="15">
      <c r="A15" s="1" t="s">
        <v>34</v>
      </c>
      <c r="B15" s="2">
        <v>24454.0</v>
      </c>
      <c r="C15" s="2">
        <v>11423.0</v>
      </c>
      <c r="D15" s="2">
        <v>24454.0</v>
      </c>
      <c r="E15" s="2">
        <v>11423.0</v>
      </c>
      <c r="F15" s="1" t="s">
        <v>329</v>
      </c>
    </row>
    <row r="16">
      <c r="A16" s="1" t="s">
        <v>36</v>
      </c>
      <c r="B16" s="2">
        <v>214052.0</v>
      </c>
      <c r="C16" s="2">
        <v>18188.0</v>
      </c>
      <c r="D16" s="2">
        <v>214052.0</v>
      </c>
      <c r="E16" s="2">
        <v>18006.0</v>
      </c>
      <c r="F16" s="1" t="s">
        <v>329</v>
      </c>
    </row>
    <row r="17">
      <c r="A17" s="1" t="s">
        <v>37</v>
      </c>
      <c r="B17" s="2">
        <v>39348.0</v>
      </c>
      <c r="C17" s="2">
        <v>50359.0</v>
      </c>
      <c r="D17" s="2">
        <v>39348.0</v>
      </c>
      <c r="E17" s="2">
        <v>50359.0</v>
      </c>
      <c r="F17" s="1" t="s">
        <v>329</v>
      </c>
    </row>
    <row r="18">
      <c r="A18" s="1" t="s">
        <v>38</v>
      </c>
      <c r="B18" s="2">
        <v>123653.0</v>
      </c>
      <c r="C18" s="2">
        <v>22061.0</v>
      </c>
      <c r="D18" s="2">
        <v>123653.0</v>
      </c>
      <c r="E18" s="2">
        <v>22061.0</v>
      </c>
      <c r="F18" s="1" t="s">
        <v>329</v>
      </c>
    </row>
    <row r="19">
      <c r="A19" s="1" t="s">
        <v>39</v>
      </c>
      <c r="B19" s="2">
        <v>250333.0</v>
      </c>
      <c r="C19" s="2">
        <v>28741.0</v>
      </c>
      <c r="D19" s="2">
        <v>245326.0</v>
      </c>
      <c r="E19" s="2">
        <v>28741.0</v>
      </c>
      <c r="F19" s="1" t="s">
        <v>329</v>
      </c>
    </row>
    <row r="20">
      <c r="A20" s="1" t="s">
        <v>40</v>
      </c>
      <c r="B20" s="2">
        <v>4129.0</v>
      </c>
      <c r="C20" s="2">
        <v>6319.0</v>
      </c>
      <c r="D20" s="2">
        <v>4129.0</v>
      </c>
      <c r="E20" s="2">
        <v>6319.0</v>
      </c>
      <c r="F20" s="1" t="s">
        <v>329</v>
      </c>
    </row>
    <row r="21">
      <c r="A21" s="1" t="s">
        <v>41</v>
      </c>
      <c r="B21" s="2">
        <v>85614.0</v>
      </c>
      <c r="C21" s="2">
        <v>6214.0</v>
      </c>
      <c r="D21" s="2">
        <v>85614.0</v>
      </c>
      <c r="E21" s="2">
        <v>6214.0</v>
      </c>
      <c r="F21" s="1" t="s">
        <v>329</v>
      </c>
    </row>
    <row r="22">
      <c r="A22" s="1" t="s">
        <v>42</v>
      </c>
      <c r="B22" s="2">
        <v>142107.0</v>
      </c>
      <c r="C22" s="2">
        <v>15153.0</v>
      </c>
      <c r="D22" s="2">
        <v>142107.0</v>
      </c>
      <c r="E22" s="2">
        <v>15153.0</v>
      </c>
      <c r="F22" s="1" t="s">
        <v>329</v>
      </c>
    </row>
    <row r="23">
      <c r="A23" s="1" t="s">
        <v>43</v>
      </c>
      <c r="B23" s="2">
        <v>234424.0</v>
      </c>
      <c r="C23" s="2">
        <v>46764.0</v>
      </c>
      <c r="D23" s="2">
        <v>234424.0</v>
      </c>
      <c r="E23" s="2">
        <v>46764.0</v>
      </c>
      <c r="F23" s="1" t="s">
        <v>329</v>
      </c>
    </row>
    <row r="24">
      <c r="A24" s="1" t="s">
        <v>44</v>
      </c>
      <c r="B24" s="2">
        <v>127873.0</v>
      </c>
      <c r="C24" s="2">
        <v>34584.0</v>
      </c>
      <c r="D24" s="2">
        <v>127873.0</v>
      </c>
      <c r="E24" s="2">
        <v>34584.0</v>
      </c>
      <c r="F24" s="1" t="s">
        <v>329</v>
      </c>
    </row>
    <row r="25">
      <c r="A25" s="1" t="s">
        <v>45</v>
      </c>
      <c r="B25" s="2">
        <v>12976.0</v>
      </c>
      <c r="C25" s="2">
        <v>2181.0</v>
      </c>
      <c r="D25" s="2">
        <v>12976.0</v>
      </c>
      <c r="E25" s="2">
        <v>2181.0</v>
      </c>
      <c r="F25" s="1" t="s">
        <v>329</v>
      </c>
    </row>
    <row r="26">
      <c r="A26" s="1" t="s">
        <v>46</v>
      </c>
      <c r="B26" s="2">
        <v>191863.0</v>
      </c>
      <c r="C26" s="2">
        <v>42905.0</v>
      </c>
      <c r="D26" s="2">
        <v>191863.0</v>
      </c>
      <c r="E26" s="2">
        <v>42905.0</v>
      </c>
      <c r="F26" s="1" t="s">
        <v>329</v>
      </c>
    </row>
    <row r="27">
      <c r="A27" s="1" t="s">
        <v>47</v>
      </c>
      <c r="B27" s="2">
        <v>95442.0</v>
      </c>
      <c r="C27" s="2">
        <v>46122.0</v>
      </c>
      <c r="D27" s="2">
        <v>100214.0</v>
      </c>
      <c r="E27" s="2">
        <v>46122.0</v>
      </c>
      <c r="F27" s="1" t="s">
        <v>330</v>
      </c>
      <c r="G27" s="1" t="s">
        <v>333</v>
      </c>
    </row>
    <row r="28">
      <c r="A28" s="1" t="s">
        <v>48</v>
      </c>
      <c r="B28" s="2">
        <v>47945.0</v>
      </c>
      <c r="C28" s="2">
        <v>23778.0</v>
      </c>
      <c r="D28" s="2">
        <v>28767.0</v>
      </c>
      <c r="E28" s="2">
        <v>23778.0</v>
      </c>
      <c r="F28" s="1" t="s">
        <v>330</v>
      </c>
      <c r="G28" s="1" t="s">
        <v>332</v>
      </c>
    </row>
    <row r="29">
      <c r="A29" s="1" t="s">
        <v>49</v>
      </c>
      <c r="B29" s="2">
        <v>294286.0</v>
      </c>
      <c r="C29" s="2">
        <v>20065.0</v>
      </c>
      <c r="D29" s="2">
        <v>294286.0</v>
      </c>
      <c r="E29" s="2">
        <v>20065.0</v>
      </c>
      <c r="F29" s="1" t="s">
        <v>329</v>
      </c>
    </row>
    <row r="30">
      <c r="A30" s="1" t="s">
        <v>50</v>
      </c>
      <c r="B30" s="2">
        <v>79494.0</v>
      </c>
      <c r="C30" s="2">
        <v>15919.0</v>
      </c>
      <c r="D30" s="2">
        <v>79494.0</v>
      </c>
      <c r="E30" s="2">
        <v>15919.0</v>
      </c>
      <c r="F30" s="1" t="s">
        <v>329</v>
      </c>
    </row>
    <row r="31">
      <c r="A31" s="1" t="s">
        <v>51</v>
      </c>
      <c r="B31" s="2">
        <v>268974.0</v>
      </c>
      <c r="C31" s="2">
        <v>46733.0</v>
      </c>
      <c r="D31" s="2">
        <v>268974.0</v>
      </c>
      <c r="E31" s="2">
        <v>46733.0</v>
      </c>
      <c r="F31" s="1" t="s">
        <v>329</v>
      </c>
    </row>
    <row r="32">
      <c r="A32" s="1" t="s">
        <v>52</v>
      </c>
      <c r="B32" s="2">
        <v>179880.0</v>
      </c>
      <c r="C32" s="2">
        <v>26239.0</v>
      </c>
      <c r="D32" s="2">
        <v>179880.0</v>
      </c>
      <c r="E32" s="2">
        <v>26239.0</v>
      </c>
      <c r="F32" s="1" t="s">
        <v>329</v>
      </c>
    </row>
    <row r="33">
      <c r="A33" s="1" t="s">
        <v>53</v>
      </c>
      <c r="B33" s="2">
        <v>11157.0</v>
      </c>
      <c r="C33" s="2">
        <v>6020.0</v>
      </c>
      <c r="D33" s="2">
        <v>11157.0</v>
      </c>
      <c r="E33" s="2">
        <v>6020.0</v>
      </c>
      <c r="F33" s="1" t="s">
        <v>329</v>
      </c>
    </row>
    <row r="34">
      <c r="A34" s="1" t="s">
        <v>55</v>
      </c>
      <c r="B34" s="2">
        <v>52973.0</v>
      </c>
      <c r="C34" s="2">
        <v>7560.0</v>
      </c>
      <c r="D34" s="2">
        <v>53324.0</v>
      </c>
      <c r="E34" s="2">
        <v>7560.0</v>
      </c>
      <c r="F34" s="1" t="s">
        <v>330</v>
      </c>
      <c r="G34" s="1" t="s">
        <v>331</v>
      </c>
    </row>
    <row r="35">
      <c r="A35" s="1" t="s">
        <v>56</v>
      </c>
      <c r="B35" s="2">
        <v>343815.0</v>
      </c>
      <c r="C35" s="2">
        <v>25582.0</v>
      </c>
      <c r="D35" s="2">
        <v>343815.0</v>
      </c>
      <c r="E35" s="2">
        <v>25582.0</v>
      </c>
      <c r="F35" s="1" t="s">
        <v>329</v>
      </c>
    </row>
    <row r="36">
      <c r="A36" s="1" t="s">
        <v>57</v>
      </c>
      <c r="B36" s="2">
        <v>185332.0</v>
      </c>
      <c r="C36" s="2">
        <v>39414.0</v>
      </c>
      <c r="D36" s="2">
        <v>185332.0</v>
      </c>
      <c r="E36" s="2">
        <v>39414.0</v>
      </c>
      <c r="F36" s="1" t="s">
        <v>329</v>
      </c>
    </row>
    <row r="37">
      <c r="A37" s="1" t="s">
        <v>58</v>
      </c>
      <c r="B37" s="2">
        <v>36630.0</v>
      </c>
      <c r="C37" s="2">
        <v>3817.0</v>
      </c>
      <c r="D37" s="2">
        <v>36630.0</v>
      </c>
      <c r="E37" s="2">
        <v>3817.0</v>
      </c>
      <c r="F37" s="1" t="s">
        <v>329</v>
      </c>
    </row>
    <row r="38">
      <c r="A38" s="1" t="s">
        <v>59</v>
      </c>
      <c r="B38" s="2">
        <v>5410.0</v>
      </c>
      <c r="C38" s="2">
        <v>3526.0</v>
      </c>
      <c r="D38" s="2">
        <v>5410.0</v>
      </c>
      <c r="E38" s="2">
        <v>3490.0</v>
      </c>
      <c r="F38" s="1" t="s">
        <v>329</v>
      </c>
    </row>
    <row r="39">
      <c r="A39" s="1" t="s">
        <v>60</v>
      </c>
      <c r="B39" s="2">
        <v>26305.0</v>
      </c>
      <c r="C39" s="2">
        <v>7083.0</v>
      </c>
      <c r="D39" s="2">
        <v>26305.0</v>
      </c>
      <c r="E39" s="2">
        <v>7083.0</v>
      </c>
      <c r="F39" s="1" t="s">
        <v>329</v>
      </c>
    </row>
    <row r="40">
      <c r="A40" s="1" t="s">
        <v>61</v>
      </c>
      <c r="B40" s="2">
        <v>209421.0</v>
      </c>
      <c r="C40" s="2">
        <v>24678.0</v>
      </c>
      <c r="D40" s="2">
        <v>209421.0</v>
      </c>
      <c r="E40" s="2">
        <v>24678.0</v>
      </c>
      <c r="F40" s="1" t="s">
        <v>329</v>
      </c>
    </row>
    <row r="41">
      <c r="A41" s="1" t="s">
        <v>62</v>
      </c>
      <c r="B41" s="2">
        <v>36428.0</v>
      </c>
      <c r="C41" s="2">
        <v>45169.0</v>
      </c>
      <c r="D41" s="2">
        <v>37193.0</v>
      </c>
      <c r="E41" s="2">
        <v>45169.0</v>
      </c>
      <c r="F41" s="1" t="s">
        <v>330</v>
      </c>
      <c r="G41" s="1" t="s">
        <v>331</v>
      </c>
    </row>
    <row r="42">
      <c r="A42" s="1" t="s">
        <v>63</v>
      </c>
      <c r="B42" s="2">
        <v>9988.0</v>
      </c>
      <c r="C42" s="2">
        <v>14256.0</v>
      </c>
      <c r="D42" s="2">
        <v>9988.0</v>
      </c>
      <c r="E42" s="2">
        <v>14256.0</v>
      </c>
      <c r="F42" s="1" t="s">
        <v>329</v>
      </c>
    </row>
    <row r="43">
      <c r="A43" s="1" t="s">
        <v>64</v>
      </c>
      <c r="B43" s="2">
        <v>47871.0</v>
      </c>
      <c r="C43" s="2">
        <v>7551.0</v>
      </c>
      <c r="D43" s="2">
        <v>47871.0</v>
      </c>
      <c r="E43" s="2">
        <v>7551.0</v>
      </c>
      <c r="F43" s="1" t="s">
        <v>329</v>
      </c>
    </row>
    <row r="44">
      <c r="A44" s="1" t="s">
        <v>65</v>
      </c>
      <c r="B44" s="2">
        <v>121865.0</v>
      </c>
      <c r="C44" s="2">
        <v>23298.0</v>
      </c>
      <c r="D44" s="2">
        <v>121865.0</v>
      </c>
      <c r="E44" s="2">
        <v>23298.0</v>
      </c>
      <c r="F44" s="1" t="s">
        <v>329</v>
      </c>
    </row>
    <row r="45">
      <c r="A45" s="1" t="s">
        <v>66</v>
      </c>
      <c r="B45" s="2">
        <v>7409.0</v>
      </c>
      <c r="C45" s="2">
        <v>836.0</v>
      </c>
      <c r="D45" s="2">
        <v>7409.0</v>
      </c>
      <c r="E45" s="2">
        <v>827.0</v>
      </c>
      <c r="F45" s="1" t="s">
        <v>329</v>
      </c>
    </row>
    <row r="46">
      <c r="A46" s="1" t="s">
        <v>67</v>
      </c>
      <c r="B46" s="2">
        <v>131700.0</v>
      </c>
      <c r="C46" s="2">
        <v>21296.0</v>
      </c>
      <c r="D46" s="2">
        <v>129066.0</v>
      </c>
      <c r="E46" s="2">
        <v>21296.0</v>
      </c>
      <c r="F46" s="1" t="s">
        <v>329</v>
      </c>
    </row>
    <row r="47">
      <c r="A47" s="1" t="s">
        <v>68</v>
      </c>
      <c r="B47" s="2">
        <v>330236.0</v>
      </c>
      <c r="C47" s="2">
        <v>39103.0</v>
      </c>
      <c r="D47" s="2">
        <v>330236.0</v>
      </c>
      <c r="E47" s="2">
        <v>39103.0</v>
      </c>
      <c r="F47" s="1" t="s">
        <v>329</v>
      </c>
    </row>
    <row r="48">
      <c r="A48" s="1" t="s">
        <v>69</v>
      </c>
      <c r="B48" s="2">
        <v>250774.0</v>
      </c>
      <c r="C48" s="2">
        <v>31030.0</v>
      </c>
      <c r="D48" s="2">
        <v>250774.0</v>
      </c>
      <c r="E48" s="2">
        <v>31030.0</v>
      </c>
      <c r="F48" s="1" t="s">
        <v>329</v>
      </c>
    </row>
    <row r="49">
      <c r="A49" s="1" t="s">
        <v>70</v>
      </c>
      <c r="B49" s="2">
        <v>22297.0</v>
      </c>
      <c r="C49" s="2">
        <v>2929.0</v>
      </c>
      <c r="D49" s="2">
        <v>22297.0</v>
      </c>
      <c r="E49" s="2">
        <v>2899.0</v>
      </c>
      <c r="F49" s="1" t="s">
        <v>329</v>
      </c>
    </row>
    <row r="50">
      <c r="A50" s="1" t="s">
        <v>71</v>
      </c>
      <c r="B50" s="2">
        <v>86589.0</v>
      </c>
      <c r="C50" s="2">
        <v>12846.0</v>
      </c>
      <c r="D50" s="2">
        <v>86589.0</v>
      </c>
      <c r="E50" s="2">
        <v>12846.0</v>
      </c>
      <c r="F50" s="1" t="s">
        <v>329</v>
      </c>
    </row>
    <row r="51">
      <c r="A51" s="1" t="s">
        <v>72</v>
      </c>
      <c r="B51" s="2">
        <v>138462.0</v>
      </c>
      <c r="C51" s="2">
        <v>20006.0</v>
      </c>
      <c r="D51" s="2">
        <v>138462.0</v>
      </c>
      <c r="E51" s="2">
        <v>20006.0</v>
      </c>
      <c r="F51" s="1" t="s">
        <v>329</v>
      </c>
    </row>
    <row r="52">
      <c r="A52" s="1" t="s">
        <v>73</v>
      </c>
      <c r="B52" s="2">
        <v>82659.0</v>
      </c>
      <c r="C52" s="2">
        <v>9574.0</v>
      </c>
      <c r="D52" s="2">
        <v>82659.0</v>
      </c>
      <c r="E52" s="2">
        <v>9478.0</v>
      </c>
      <c r="F52" s="1" t="s">
        <v>329</v>
      </c>
    </row>
    <row r="53">
      <c r="A53" s="1" t="s">
        <v>74</v>
      </c>
      <c r="B53" s="2">
        <v>429101.0</v>
      </c>
      <c r="C53" s="2">
        <v>47290.0</v>
      </c>
      <c r="D53" s="2">
        <v>429101.0</v>
      </c>
      <c r="E53" s="2">
        <v>47290.0</v>
      </c>
      <c r="F53" s="1" t="s">
        <v>329</v>
      </c>
    </row>
    <row r="54">
      <c r="A54" s="1" t="s">
        <v>75</v>
      </c>
      <c r="B54" s="2">
        <v>44443.0</v>
      </c>
      <c r="C54" s="2">
        <v>9274.0</v>
      </c>
      <c r="D54" s="2">
        <v>44443.0</v>
      </c>
      <c r="E54" s="2">
        <v>9274.0</v>
      </c>
      <c r="F54" s="1" t="s">
        <v>329</v>
      </c>
    </row>
    <row r="55">
      <c r="A55" s="1" t="s">
        <v>76</v>
      </c>
      <c r="B55" s="2">
        <v>94303.0</v>
      </c>
      <c r="C55" s="2">
        <v>44997.0</v>
      </c>
      <c r="D55" s="2">
        <v>94303.0</v>
      </c>
      <c r="E55" s="2">
        <v>44997.0</v>
      </c>
      <c r="F55" s="1" t="s">
        <v>329</v>
      </c>
    </row>
    <row r="56">
      <c r="A56" s="1" t="s">
        <v>77</v>
      </c>
      <c r="B56" s="2">
        <v>97861.0</v>
      </c>
      <c r="C56" s="2">
        <v>14147.0</v>
      </c>
      <c r="D56" s="2">
        <v>97861.0</v>
      </c>
      <c r="E56" s="2">
        <v>14147.0</v>
      </c>
      <c r="F56" s="1" t="s">
        <v>329</v>
      </c>
    </row>
    <row r="57">
      <c r="A57" s="1" t="s">
        <v>78</v>
      </c>
      <c r="B57" s="2">
        <v>58280.0</v>
      </c>
      <c r="C57" s="2">
        <v>10932.0</v>
      </c>
      <c r="D57" s="2">
        <v>58280.0</v>
      </c>
      <c r="E57" s="2">
        <v>10822.0</v>
      </c>
      <c r="F57" s="1" t="s">
        <v>329</v>
      </c>
    </row>
    <row r="58">
      <c r="A58" s="1" t="s">
        <v>79</v>
      </c>
      <c r="B58" s="2">
        <v>56168.0</v>
      </c>
      <c r="C58" s="2">
        <v>21604.0</v>
      </c>
      <c r="D58" s="2">
        <v>56168.0</v>
      </c>
      <c r="E58" s="2">
        <v>21604.0</v>
      </c>
      <c r="F58" s="1" t="s">
        <v>329</v>
      </c>
    </row>
    <row r="59">
      <c r="A59" s="1" t="s">
        <v>80</v>
      </c>
      <c r="B59" s="2">
        <v>94403.0</v>
      </c>
      <c r="C59" s="2">
        <v>33999.0</v>
      </c>
      <c r="D59" s="2">
        <v>94403.0</v>
      </c>
      <c r="E59" s="2">
        <v>33999.0</v>
      </c>
      <c r="F59" s="1" t="s">
        <v>329</v>
      </c>
    </row>
    <row r="60">
      <c r="A60" s="1" t="s">
        <v>81</v>
      </c>
      <c r="B60" s="2">
        <v>66606.0</v>
      </c>
      <c r="C60" s="2">
        <v>44545.0</v>
      </c>
      <c r="D60" s="2">
        <v>66606.0</v>
      </c>
      <c r="E60" s="2">
        <v>44545.0</v>
      </c>
      <c r="F60" s="1" t="s">
        <v>329</v>
      </c>
    </row>
    <row r="61">
      <c r="A61" s="1" t="s">
        <v>82</v>
      </c>
      <c r="B61" s="2">
        <v>41875.0</v>
      </c>
      <c r="C61" s="2">
        <v>5742.0</v>
      </c>
      <c r="D61" s="2">
        <v>41875.0</v>
      </c>
      <c r="E61" s="2">
        <v>5742.0</v>
      </c>
      <c r="F61" s="1" t="s">
        <v>329</v>
      </c>
    </row>
    <row r="62">
      <c r="A62" s="1" t="s">
        <v>83</v>
      </c>
      <c r="B62" s="2">
        <v>353882.0</v>
      </c>
      <c r="C62" s="2">
        <v>38918.0</v>
      </c>
      <c r="D62" s="2">
        <v>353882.0</v>
      </c>
      <c r="E62" s="2">
        <v>38918.0</v>
      </c>
      <c r="F62" s="1" t="s">
        <v>329</v>
      </c>
    </row>
    <row r="63">
      <c r="A63" s="1" t="s">
        <v>84</v>
      </c>
      <c r="B63" s="2">
        <v>362648.0</v>
      </c>
      <c r="C63" s="2">
        <v>43577.0</v>
      </c>
      <c r="D63" s="2">
        <v>355395.0</v>
      </c>
      <c r="E63" s="2">
        <v>43577.0</v>
      </c>
      <c r="F63" s="1" t="s">
        <v>329</v>
      </c>
    </row>
    <row r="64">
      <c r="A64" s="1" t="s">
        <v>85</v>
      </c>
      <c r="B64" s="2">
        <v>25767.0</v>
      </c>
      <c r="C64" s="2">
        <v>24572.0</v>
      </c>
      <c r="D64" s="2">
        <v>25767.0</v>
      </c>
      <c r="E64" s="2">
        <v>24572.0</v>
      </c>
      <c r="F64" s="1" t="s">
        <v>329</v>
      </c>
    </row>
    <row r="65">
      <c r="A65" s="1" t="s">
        <v>86</v>
      </c>
      <c r="B65" s="2">
        <v>44578.0</v>
      </c>
      <c r="C65" s="2">
        <v>5168.0</v>
      </c>
      <c r="D65" s="2">
        <v>44578.0</v>
      </c>
      <c r="E65" s="2">
        <v>5168.0</v>
      </c>
      <c r="F65" s="1" t="s">
        <v>329</v>
      </c>
    </row>
    <row r="66">
      <c r="A66" s="1" t="s">
        <v>87</v>
      </c>
      <c r="B66" s="2">
        <v>232767.0</v>
      </c>
      <c r="C66" s="2">
        <v>22221.0</v>
      </c>
      <c r="D66" s="2">
        <v>232767.0</v>
      </c>
      <c r="E66" s="2">
        <v>22221.0</v>
      </c>
      <c r="F66" s="1" t="s">
        <v>329</v>
      </c>
    </row>
    <row r="67">
      <c r="A67" s="1" t="s">
        <v>88</v>
      </c>
      <c r="B67" s="2">
        <v>31994.0</v>
      </c>
      <c r="C67" s="2">
        <v>43711.0</v>
      </c>
      <c r="D67" s="2">
        <v>31994.0</v>
      </c>
      <c r="E67" s="2">
        <v>43711.0</v>
      </c>
      <c r="F67" s="1" t="s">
        <v>329</v>
      </c>
    </row>
    <row r="68">
      <c r="A68" s="1" t="s">
        <v>89</v>
      </c>
      <c r="B68" s="2">
        <v>197577.0</v>
      </c>
      <c r="C68" s="2">
        <v>14575.0</v>
      </c>
      <c r="D68" s="2">
        <v>197577.0</v>
      </c>
      <c r="E68" s="2">
        <v>14575.0</v>
      </c>
      <c r="F68" s="1" t="s">
        <v>329</v>
      </c>
    </row>
    <row r="69">
      <c r="A69" s="1" t="s">
        <v>90</v>
      </c>
      <c r="B69" s="2">
        <v>24836.0</v>
      </c>
      <c r="C69" s="2">
        <v>29808.0</v>
      </c>
      <c r="D69" s="2">
        <v>24836.0</v>
      </c>
      <c r="E69" s="2">
        <v>29808.0</v>
      </c>
      <c r="F69" s="1" t="s">
        <v>329</v>
      </c>
    </row>
    <row r="70">
      <c r="A70" s="1" t="s">
        <v>91</v>
      </c>
      <c r="B70" s="2">
        <v>109536.0</v>
      </c>
      <c r="C70" s="2">
        <v>25724.0</v>
      </c>
      <c r="D70" s="2">
        <v>110210.0</v>
      </c>
      <c r="E70" s="2">
        <v>25724.0</v>
      </c>
      <c r="F70" s="1" t="s">
        <v>330</v>
      </c>
      <c r="G70" s="1" t="s">
        <v>331</v>
      </c>
    </row>
    <row r="71">
      <c r="A71" s="1" t="s">
        <v>92</v>
      </c>
      <c r="B71" s="2">
        <v>214000.0</v>
      </c>
      <c r="C71" s="2">
        <v>28946.0</v>
      </c>
      <c r="D71" s="2">
        <v>214000.0</v>
      </c>
      <c r="E71" s="2">
        <v>28946.0</v>
      </c>
      <c r="F71" s="1" t="s">
        <v>329</v>
      </c>
    </row>
    <row r="72">
      <c r="A72" s="1" t="s">
        <v>93</v>
      </c>
      <c r="B72" s="2">
        <v>99386.0</v>
      </c>
      <c r="C72" s="2">
        <v>35407.0</v>
      </c>
      <c r="D72" s="2">
        <v>99386.0</v>
      </c>
      <c r="E72" s="2">
        <v>35407.0</v>
      </c>
      <c r="F72" s="1" t="s">
        <v>329</v>
      </c>
    </row>
    <row r="73">
      <c r="A73" s="1" t="s">
        <v>94</v>
      </c>
      <c r="B73" s="2">
        <v>86672.0</v>
      </c>
      <c r="C73" s="2">
        <v>16383.0</v>
      </c>
      <c r="D73" s="2">
        <v>86672.0</v>
      </c>
      <c r="E73" s="2">
        <v>16383.0</v>
      </c>
      <c r="F73" s="1" t="s">
        <v>329</v>
      </c>
    </row>
    <row r="74">
      <c r="A74" s="1" t="s">
        <v>95</v>
      </c>
      <c r="B74" s="2">
        <v>72302.0</v>
      </c>
      <c r="C74" s="2">
        <v>12694.0</v>
      </c>
      <c r="D74" s="2">
        <v>72302.0</v>
      </c>
      <c r="E74" s="2">
        <v>12694.0</v>
      </c>
      <c r="F74" s="1" t="s">
        <v>329</v>
      </c>
    </row>
    <row r="75">
      <c r="A75" s="1" t="s">
        <v>96</v>
      </c>
      <c r="B75" s="2">
        <v>370391.0</v>
      </c>
      <c r="C75" s="2">
        <v>46841.0</v>
      </c>
      <c r="D75" s="2">
        <v>370391.0</v>
      </c>
      <c r="E75" s="2">
        <v>46841.0</v>
      </c>
      <c r="F75" s="1" t="s">
        <v>329</v>
      </c>
    </row>
    <row r="76">
      <c r="A76" s="1" t="s">
        <v>97</v>
      </c>
      <c r="B76" s="2">
        <v>88094.0</v>
      </c>
      <c r="C76" s="2">
        <v>24407.0</v>
      </c>
      <c r="D76" s="2">
        <v>92498.0</v>
      </c>
      <c r="E76" s="2">
        <v>24407.0</v>
      </c>
      <c r="F76" s="1" t="s">
        <v>330</v>
      </c>
      <c r="G76" s="1" t="s">
        <v>333</v>
      </c>
    </row>
    <row r="77">
      <c r="A77" s="1" t="s">
        <v>98</v>
      </c>
      <c r="B77" s="2">
        <v>41646.0</v>
      </c>
      <c r="C77" s="2">
        <v>29276.0</v>
      </c>
      <c r="D77" s="2">
        <v>43728.0</v>
      </c>
      <c r="E77" s="2">
        <v>29276.0</v>
      </c>
      <c r="F77" s="1" t="s">
        <v>330</v>
      </c>
      <c r="G77" s="1" t="s">
        <v>333</v>
      </c>
    </row>
    <row r="78">
      <c r="A78" s="1" t="s">
        <v>99</v>
      </c>
      <c r="B78" s="2">
        <v>15658.0</v>
      </c>
      <c r="C78" s="2">
        <v>7494.0</v>
      </c>
      <c r="D78" s="2">
        <v>15658.0</v>
      </c>
      <c r="E78" s="2">
        <v>7494.0</v>
      </c>
      <c r="F78" s="1" t="s">
        <v>329</v>
      </c>
    </row>
    <row r="79">
      <c r="A79" s="1" t="s">
        <v>100</v>
      </c>
      <c r="B79" s="2">
        <v>36280.0</v>
      </c>
      <c r="C79" s="2">
        <v>5874.0</v>
      </c>
      <c r="D79" s="2">
        <v>36280.0</v>
      </c>
      <c r="E79" s="2">
        <v>5874.0</v>
      </c>
      <c r="F79" s="1" t="s">
        <v>329</v>
      </c>
    </row>
    <row r="80">
      <c r="A80" s="1" t="s">
        <v>101</v>
      </c>
      <c r="B80" s="2">
        <v>259543.0</v>
      </c>
      <c r="C80" s="2">
        <v>48465.0</v>
      </c>
      <c r="D80" s="2">
        <v>259543.0</v>
      </c>
      <c r="E80" s="2">
        <v>48465.0</v>
      </c>
      <c r="F80" s="1" t="s">
        <v>329</v>
      </c>
    </row>
    <row r="81">
      <c r="A81" s="1" t="s">
        <v>102</v>
      </c>
      <c r="B81" s="2">
        <v>216946.0</v>
      </c>
      <c r="C81" s="2">
        <v>24732.0</v>
      </c>
      <c r="D81" s="2">
        <v>216946.0</v>
      </c>
      <c r="E81" s="2">
        <v>24732.0</v>
      </c>
      <c r="F81" s="1" t="s">
        <v>329</v>
      </c>
    </row>
    <row r="82">
      <c r="A82" s="1" t="s">
        <v>103</v>
      </c>
      <c r="B82" s="2">
        <v>291821.0</v>
      </c>
      <c r="C82" s="2">
        <v>36865.0</v>
      </c>
      <c r="D82" s="2">
        <v>291821.0</v>
      </c>
      <c r="E82" s="2">
        <v>36496.0</v>
      </c>
      <c r="F82" s="1" t="s">
        <v>329</v>
      </c>
    </row>
    <row r="83">
      <c r="A83" s="1" t="s">
        <v>104</v>
      </c>
      <c r="B83" s="2">
        <v>296219.0</v>
      </c>
      <c r="C83" s="2">
        <v>32049.0</v>
      </c>
      <c r="D83" s="2">
        <v>290294.0</v>
      </c>
      <c r="E83" s="2">
        <v>32049.0</v>
      </c>
      <c r="F83" s="1" t="s">
        <v>329</v>
      </c>
    </row>
    <row r="84">
      <c r="A84" s="1" t="s">
        <v>105</v>
      </c>
      <c r="B84" s="2">
        <v>258220.0</v>
      </c>
      <c r="C84" s="2">
        <v>25724.0</v>
      </c>
      <c r="D84" s="2">
        <v>258220.0</v>
      </c>
      <c r="E84" s="2">
        <v>25724.0</v>
      </c>
      <c r="F84" s="1" t="s">
        <v>329</v>
      </c>
    </row>
    <row r="85">
      <c r="A85" s="1" t="s">
        <v>106</v>
      </c>
      <c r="B85" s="2">
        <v>377310.0</v>
      </c>
      <c r="C85" s="2">
        <v>45072.0</v>
      </c>
      <c r="D85" s="2">
        <v>377310.0</v>
      </c>
      <c r="E85" s="2">
        <v>45072.0</v>
      </c>
      <c r="F85" s="1" t="s">
        <v>329</v>
      </c>
    </row>
    <row r="86">
      <c r="A86" s="1" t="s">
        <v>107</v>
      </c>
      <c r="B86" s="2">
        <v>112602.0</v>
      </c>
      <c r="C86" s="2">
        <v>13350.0</v>
      </c>
      <c r="D86" s="2">
        <v>67561.0</v>
      </c>
      <c r="E86" s="2">
        <v>13350.0</v>
      </c>
      <c r="F86" s="1" t="s">
        <v>330</v>
      </c>
      <c r="G86" s="1" t="s">
        <v>332</v>
      </c>
    </row>
    <row r="87">
      <c r="A87" s="1" t="s">
        <v>108</v>
      </c>
      <c r="B87" s="2">
        <v>250633.0</v>
      </c>
      <c r="C87" s="2">
        <v>23570.0</v>
      </c>
      <c r="D87" s="2">
        <v>250633.0</v>
      </c>
      <c r="E87" s="2">
        <v>23570.0</v>
      </c>
      <c r="F87" s="1" t="s">
        <v>329</v>
      </c>
    </row>
    <row r="88">
      <c r="A88" s="1" t="s">
        <v>109</v>
      </c>
      <c r="B88" s="2">
        <v>53344.0</v>
      </c>
      <c r="C88" s="2">
        <v>10168.0</v>
      </c>
      <c r="D88" s="2">
        <v>32006.0</v>
      </c>
      <c r="E88" s="2">
        <v>10168.0</v>
      </c>
      <c r="F88" s="1" t="s">
        <v>330</v>
      </c>
      <c r="G88" s="1" t="s">
        <v>332</v>
      </c>
    </row>
    <row r="89">
      <c r="A89" s="1" t="s">
        <v>110</v>
      </c>
      <c r="B89" s="2">
        <v>195843.0</v>
      </c>
      <c r="C89" s="2">
        <v>34638.0</v>
      </c>
      <c r="D89" s="2">
        <v>195843.0</v>
      </c>
      <c r="E89" s="2">
        <v>34638.0</v>
      </c>
      <c r="F89" s="1" t="s">
        <v>329</v>
      </c>
    </row>
    <row r="90">
      <c r="A90" s="1" t="s">
        <v>111</v>
      </c>
      <c r="B90" s="2">
        <v>157488.0</v>
      </c>
      <c r="C90" s="2">
        <v>13272.0</v>
      </c>
      <c r="D90" s="2">
        <v>157488.0</v>
      </c>
      <c r="E90" s="2">
        <v>13272.0</v>
      </c>
      <c r="F90" s="1" t="s">
        <v>329</v>
      </c>
    </row>
    <row r="91">
      <c r="A91" s="1" t="s">
        <v>112</v>
      </c>
      <c r="B91" s="2">
        <v>329332.0</v>
      </c>
      <c r="C91" s="2">
        <v>39230.0</v>
      </c>
      <c r="D91" s="2">
        <v>329332.0</v>
      </c>
      <c r="E91" s="2">
        <v>39230.0</v>
      </c>
      <c r="F91" s="1" t="s">
        <v>329</v>
      </c>
    </row>
    <row r="92">
      <c r="A92" s="1" t="s">
        <v>113</v>
      </c>
      <c r="B92" s="2">
        <v>30963.0</v>
      </c>
      <c r="C92" s="2">
        <v>23097.0</v>
      </c>
      <c r="D92" s="2">
        <v>30343.0</v>
      </c>
      <c r="E92" s="2">
        <v>23097.0</v>
      </c>
      <c r="F92" s="1" t="s">
        <v>329</v>
      </c>
    </row>
    <row r="93">
      <c r="A93" s="1" t="s">
        <v>114</v>
      </c>
      <c r="B93" s="2">
        <v>27941.0</v>
      </c>
      <c r="C93" s="2">
        <v>4089.0</v>
      </c>
      <c r="D93" s="2">
        <v>27941.0</v>
      </c>
      <c r="E93" s="2">
        <v>4089.0</v>
      </c>
      <c r="F93" s="1" t="s">
        <v>329</v>
      </c>
    </row>
    <row r="94">
      <c r="A94" s="1" t="s">
        <v>115</v>
      </c>
      <c r="B94" s="2">
        <v>43894.0</v>
      </c>
      <c r="C94" s="2">
        <v>53579.0</v>
      </c>
      <c r="D94" s="2">
        <v>35115.0</v>
      </c>
      <c r="E94" s="2">
        <v>53579.0</v>
      </c>
      <c r="F94" s="1" t="s">
        <v>330</v>
      </c>
      <c r="G94" s="1" t="s">
        <v>334</v>
      </c>
    </row>
    <row r="95">
      <c r="A95" s="1" t="s">
        <v>116</v>
      </c>
      <c r="B95" s="2">
        <v>28784.0</v>
      </c>
      <c r="C95" s="2">
        <v>2485.0</v>
      </c>
      <c r="D95" s="2">
        <v>28784.0</v>
      </c>
      <c r="E95" s="2">
        <v>2485.0</v>
      </c>
      <c r="F95" s="1" t="s">
        <v>329</v>
      </c>
    </row>
    <row r="96">
      <c r="A96" s="1" t="s">
        <v>117</v>
      </c>
      <c r="B96" s="2">
        <v>74252.0</v>
      </c>
      <c r="C96" s="2">
        <v>9675.0</v>
      </c>
      <c r="D96" s="2">
        <v>74252.0</v>
      </c>
      <c r="E96" s="2">
        <v>9675.0</v>
      </c>
      <c r="F96" s="1" t="s">
        <v>329</v>
      </c>
    </row>
    <row r="97">
      <c r="A97" s="1" t="s">
        <v>118</v>
      </c>
      <c r="B97" s="2">
        <v>156661.0</v>
      </c>
      <c r="C97" s="2">
        <v>18183.0</v>
      </c>
      <c r="D97" s="2">
        <v>156661.0</v>
      </c>
      <c r="E97" s="2">
        <v>18183.0</v>
      </c>
      <c r="F97" s="1" t="s">
        <v>329</v>
      </c>
    </row>
    <row r="98">
      <c r="A98" s="1" t="s">
        <v>119</v>
      </c>
      <c r="B98" s="2">
        <v>286683.0</v>
      </c>
      <c r="C98" s="2">
        <v>45617.0</v>
      </c>
      <c r="D98" s="2">
        <v>286683.0</v>
      </c>
      <c r="E98" s="2">
        <v>45160.0</v>
      </c>
      <c r="F98" s="1" t="s">
        <v>329</v>
      </c>
    </row>
    <row r="99">
      <c r="A99" s="1" t="s">
        <v>120</v>
      </c>
      <c r="B99" s="2">
        <v>188079.0</v>
      </c>
      <c r="C99" s="2">
        <v>18362.0</v>
      </c>
      <c r="D99" s="2">
        <v>188079.0</v>
      </c>
      <c r="E99" s="2">
        <v>18178.0</v>
      </c>
      <c r="F99" s="1" t="s">
        <v>329</v>
      </c>
    </row>
    <row r="100">
      <c r="A100" s="1" t="s">
        <v>121</v>
      </c>
      <c r="B100" s="2">
        <v>92156.0</v>
      </c>
      <c r="C100" s="2">
        <v>56714.0</v>
      </c>
      <c r="D100" s="2">
        <v>92156.0</v>
      </c>
      <c r="E100" s="2">
        <v>56714.0</v>
      </c>
      <c r="F100" s="1" t="s">
        <v>329</v>
      </c>
    </row>
    <row r="101">
      <c r="A101" s="1" t="s">
        <v>122</v>
      </c>
      <c r="B101" s="2">
        <v>377282.0</v>
      </c>
      <c r="C101" s="2">
        <v>41407.0</v>
      </c>
      <c r="D101" s="2">
        <v>377282.0</v>
      </c>
      <c r="E101" s="2">
        <v>41407.0</v>
      </c>
      <c r="F101" s="1" t="s">
        <v>329</v>
      </c>
    </row>
    <row r="102">
      <c r="A102" s="1" t="s">
        <v>123</v>
      </c>
      <c r="B102" s="2">
        <v>189527.0</v>
      </c>
      <c r="C102" s="2">
        <v>18099.0</v>
      </c>
      <c r="D102" s="2">
        <v>189527.0</v>
      </c>
      <c r="E102" s="2">
        <v>18099.0</v>
      </c>
      <c r="F102" s="1" t="s">
        <v>329</v>
      </c>
    </row>
    <row r="103">
      <c r="A103" s="1" t="s">
        <v>124</v>
      </c>
      <c r="B103" s="2">
        <v>333909.0</v>
      </c>
      <c r="C103" s="2">
        <v>41478.0</v>
      </c>
      <c r="D103" s="2">
        <v>300518.0</v>
      </c>
      <c r="E103" s="2">
        <v>20739.0</v>
      </c>
      <c r="F103" s="1" t="s">
        <v>330</v>
      </c>
      <c r="G103" s="1" t="s">
        <v>335</v>
      </c>
    </row>
    <row r="104">
      <c r="A104" s="1" t="s">
        <v>125</v>
      </c>
      <c r="B104" s="2">
        <v>57785.0</v>
      </c>
      <c r="C104" s="2">
        <v>6250.0</v>
      </c>
      <c r="D104" s="2">
        <v>57785.0</v>
      </c>
      <c r="E104" s="2">
        <v>6250.0</v>
      </c>
      <c r="F104" s="1" t="s">
        <v>329</v>
      </c>
    </row>
    <row r="105">
      <c r="A105" s="1" t="s">
        <v>126</v>
      </c>
      <c r="B105" s="2">
        <v>337558.0</v>
      </c>
      <c r="C105" s="2">
        <v>45339.0</v>
      </c>
      <c r="D105" s="2">
        <v>337558.0</v>
      </c>
      <c r="E105" s="2">
        <v>45339.0</v>
      </c>
      <c r="F105" s="1" t="s">
        <v>329</v>
      </c>
    </row>
    <row r="106">
      <c r="A106" s="1" t="s">
        <v>127</v>
      </c>
      <c r="B106" s="2">
        <v>78377.0</v>
      </c>
      <c r="C106" s="2">
        <v>20750.0</v>
      </c>
      <c r="D106" s="2">
        <v>70539.0</v>
      </c>
      <c r="E106" s="2">
        <v>10375.0</v>
      </c>
      <c r="F106" s="1" t="s">
        <v>330</v>
      </c>
      <c r="G106" s="1" t="s">
        <v>335</v>
      </c>
    </row>
    <row r="107">
      <c r="A107" s="1" t="s">
        <v>128</v>
      </c>
      <c r="B107" s="2">
        <v>74702.0</v>
      </c>
      <c r="C107" s="2">
        <v>20937.0</v>
      </c>
      <c r="D107" s="2">
        <v>74702.0</v>
      </c>
      <c r="E107" s="2">
        <v>20937.0</v>
      </c>
      <c r="F107" s="1" t="s">
        <v>329</v>
      </c>
    </row>
    <row r="108">
      <c r="A108" s="1" t="s">
        <v>129</v>
      </c>
      <c r="B108" s="2">
        <v>54682.0</v>
      </c>
      <c r="C108" s="2">
        <v>20237.0</v>
      </c>
      <c r="D108" s="2">
        <v>54682.0</v>
      </c>
      <c r="E108" s="2">
        <v>20237.0</v>
      </c>
      <c r="F108" s="1" t="s">
        <v>329</v>
      </c>
    </row>
    <row r="109">
      <c r="A109" s="1" t="s">
        <v>130</v>
      </c>
      <c r="B109" s="2">
        <v>329725.0</v>
      </c>
      <c r="C109" s="2">
        <v>42929.0</v>
      </c>
      <c r="D109" s="2">
        <v>329725.0</v>
      </c>
      <c r="E109" s="2">
        <v>42929.0</v>
      </c>
      <c r="F109" s="1" t="s">
        <v>329</v>
      </c>
    </row>
    <row r="110">
      <c r="A110" s="1" t="s">
        <v>131</v>
      </c>
      <c r="B110" s="2">
        <v>110219.0</v>
      </c>
      <c r="C110" s="2">
        <v>27696.0</v>
      </c>
      <c r="D110" s="2">
        <v>110219.0</v>
      </c>
      <c r="E110" s="2">
        <v>27696.0</v>
      </c>
      <c r="F110" s="1" t="s">
        <v>329</v>
      </c>
    </row>
    <row r="111">
      <c r="A111" s="1" t="s">
        <v>132</v>
      </c>
      <c r="B111" s="2">
        <v>105195.0</v>
      </c>
      <c r="C111" s="2">
        <v>31570.0</v>
      </c>
      <c r="D111" s="2">
        <v>105791.0</v>
      </c>
      <c r="E111" s="2">
        <v>31570.0</v>
      </c>
      <c r="F111" s="1" t="s">
        <v>330</v>
      </c>
      <c r="G111" s="1" t="s">
        <v>331</v>
      </c>
    </row>
    <row r="112">
      <c r="A112" s="1" t="s">
        <v>133</v>
      </c>
      <c r="B112" s="2">
        <v>249632.0</v>
      </c>
      <c r="C112" s="2">
        <v>13013.0</v>
      </c>
      <c r="D112" s="2">
        <v>249632.0</v>
      </c>
      <c r="E112" s="2">
        <v>13013.0</v>
      </c>
      <c r="F112" s="1" t="s">
        <v>329</v>
      </c>
    </row>
    <row r="113">
      <c r="A113" s="1" t="s">
        <v>134</v>
      </c>
      <c r="B113" s="2">
        <v>371857.0</v>
      </c>
      <c r="C113" s="2">
        <v>27925.0</v>
      </c>
      <c r="D113" s="2">
        <v>371857.0</v>
      </c>
      <c r="E113" s="2">
        <v>27925.0</v>
      </c>
      <c r="F113" s="1" t="s">
        <v>329</v>
      </c>
    </row>
    <row r="114">
      <c r="A114" s="1" t="s">
        <v>135</v>
      </c>
      <c r="B114" s="2">
        <v>348218.0</v>
      </c>
      <c r="C114" s="2">
        <v>17661.0</v>
      </c>
      <c r="D114" s="2">
        <v>348218.0</v>
      </c>
      <c r="E114" s="2">
        <v>17661.0</v>
      </c>
      <c r="F114" s="1" t="s">
        <v>329</v>
      </c>
    </row>
    <row r="115">
      <c r="A115" s="1" t="s">
        <v>136</v>
      </c>
      <c r="B115" s="2">
        <v>99456.0</v>
      </c>
      <c r="C115" s="2">
        <v>15935.0</v>
      </c>
      <c r="D115" s="2">
        <v>99456.0</v>
      </c>
      <c r="E115" s="2">
        <v>15935.0</v>
      </c>
      <c r="F115" s="1" t="s">
        <v>329</v>
      </c>
    </row>
    <row r="116">
      <c r="A116" s="1" t="s">
        <v>137</v>
      </c>
      <c r="B116" s="2">
        <v>46226.0</v>
      </c>
      <c r="C116" s="2">
        <v>7201.0</v>
      </c>
      <c r="D116" s="2">
        <v>46226.0</v>
      </c>
      <c r="E116" s="2">
        <v>7201.0</v>
      </c>
      <c r="F116" s="1" t="s">
        <v>329</v>
      </c>
    </row>
    <row r="117">
      <c r="A117" s="1" t="s">
        <v>138</v>
      </c>
      <c r="B117" s="2">
        <v>16456.0</v>
      </c>
      <c r="C117" s="2">
        <v>3559.0</v>
      </c>
      <c r="D117" s="2">
        <v>16456.0</v>
      </c>
      <c r="E117" s="2">
        <v>3559.0</v>
      </c>
      <c r="F117" s="1" t="s">
        <v>329</v>
      </c>
    </row>
    <row r="118">
      <c r="A118" s="1" t="s">
        <v>139</v>
      </c>
      <c r="B118" s="2">
        <v>42400.0</v>
      </c>
      <c r="C118" s="2">
        <v>4188.0</v>
      </c>
      <c r="D118" s="2">
        <v>42400.0</v>
      </c>
      <c r="E118" s="2">
        <v>4188.0</v>
      </c>
      <c r="F118" s="1" t="s">
        <v>329</v>
      </c>
    </row>
    <row r="119">
      <c r="A119" s="1" t="s">
        <v>140</v>
      </c>
      <c r="B119" s="2">
        <v>11813.0</v>
      </c>
      <c r="C119" s="2">
        <v>12323.0</v>
      </c>
      <c r="D119" s="2">
        <v>10631.0</v>
      </c>
      <c r="E119" s="2">
        <v>6161.0</v>
      </c>
      <c r="F119" s="1" t="s">
        <v>330</v>
      </c>
      <c r="G119" s="1" t="s">
        <v>335</v>
      </c>
    </row>
    <row r="120">
      <c r="A120" s="1" t="s">
        <v>141</v>
      </c>
      <c r="B120" s="2">
        <v>29873.0</v>
      </c>
      <c r="C120" s="2">
        <v>3344.0</v>
      </c>
      <c r="D120" s="2">
        <v>29873.0</v>
      </c>
      <c r="E120" s="2">
        <v>3344.0</v>
      </c>
      <c r="F120" s="1" t="s">
        <v>329</v>
      </c>
    </row>
    <row r="121">
      <c r="A121" s="1" t="s">
        <v>142</v>
      </c>
      <c r="B121" s="2">
        <v>72636.0</v>
      </c>
      <c r="C121" s="2">
        <v>10368.0</v>
      </c>
      <c r="D121" s="2">
        <v>72636.0</v>
      </c>
      <c r="E121" s="2">
        <v>10368.0</v>
      </c>
      <c r="F121" s="1" t="s">
        <v>329</v>
      </c>
    </row>
    <row r="122">
      <c r="A122" s="1" t="s">
        <v>143</v>
      </c>
      <c r="B122" s="2">
        <v>5309.0</v>
      </c>
      <c r="C122" s="2">
        <v>908.0</v>
      </c>
      <c r="D122" s="2">
        <v>5309.0</v>
      </c>
      <c r="E122" s="2">
        <v>908.0</v>
      </c>
      <c r="F122" s="1" t="s">
        <v>329</v>
      </c>
    </row>
    <row r="123">
      <c r="A123" s="1" t="s">
        <v>144</v>
      </c>
      <c r="B123" s="2">
        <v>293934.0</v>
      </c>
      <c r="C123" s="2">
        <v>48356.0</v>
      </c>
      <c r="D123" s="2">
        <v>293934.0</v>
      </c>
      <c r="E123" s="2">
        <v>48356.0</v>
      </c>
      <c r="F123" s="1" t="s">
        <v>329</v>
      </c>
    </row>
    <row r="124">
      <c r="A124" s="1" t="s">
        <v>145</v>
      </c>
      <c r="B124" s="2">
        <v>76983.0</v>
      </c>
      <c r="C124" s="2">
        <v>51866.0</v>
      </c>
      <c r="D124" s="2">
        <v>76983.0</v>
      </c>
      <c r="E124" s="2">
        <v>51866.0</v>
      </c>
      <c r="F124" s="1" t="s">
        <v>329</v>
      </c>
    </row>
    <row r="125">
      <c r="A125" s="1" t="s">
        <v>146</v>
      </c>
      <c r="B125" s="2">
        <v>56199.0</v>
      </c>
      <c r="C125" s="2">
        <v>22585.0</v>
      </c>
      <c r="D125" s="2">
        <v>56199.0</v>
      </c>
      <c r="E125" s="2">
        <v>22585.0</v>
      </c>
      <c r="F125" s="1" t="s">
        <v>329</v>
      </c>
    </row>
    <row r="126">
      <c r="A126" s="1" t="s">
        <v>147</v>
      </c>
      <c r="B126" s="2">
        <v>396217.0</v>
      </c>
      <c r="C126" s="2">
        <v>27455.0</v>
      </c>
      <c r="D126" s="2">
        <v>396217.0</v>
      </c>
      <c r="E126" s="2">
        <v>27180.0</v>
      </c>
      <c r="F126" s="1" t="s">
        <v>329</v>
      </c>
    </row>
    <row r="127">
      <c r="A127" s="1" t="s">
        <v>148</v>
      </c>
      <c r="B127" s="2">
        <v>91955.0</v>
      </c>
      <c r="C127" s="2">
        <v>32832.0</v>
      </c>
      <c r="D127" s="2">
        <v>91955.0</v>
      </c>
      <c r="E127" s="2">
        <v>32832.0</v>
      </c>
      <c r="F127" s="1" t="s">
        <v>329</v>
      </c>
    </row>
    <row r="128">
      <c r="A128" s="1" t="s">
        <v>149</v>
      </c>
      <c r="B128" s="2">
        <v>140015.0</v>
      </c>
      <c r="C128" s="2">
        <v>17164.0</v>
      </c>
      <c r="D128" s="2">
        <v>137214.0</v>
      </c>
      <c r="E128" s="2">
        <v>17164.0</v>
      </c>
      <c r="F128" s="1" t="s">
        <v>329</v>
      </c>
    </row>
    <row r="129">
      <c r="A129" s="1" t="s">
        <v>150</v>
      </c>
      <c r="B129" s="2">
        <v>87224.0</v>
      </c>
      <c r="C129" s="2">
        <v>11895.0</v>
      </c>
      <c r="D129" s="2">
        <v>87224.0</v>
      </c>
      <c r="E129" s="2">
        <v>11895.0</v>
      </c>
      <c r="F129" s="1" t="s">
        <v>329</v>
      </c>
    </row>
    <row r="130">
      <c r="A130" s="1" t="s">
        <v>151</v>
      </c>
      <c r="B130" s="2">
        <v>6963.0</v>
      </c>
      <c r="C130" s="2">
        <v>2096.0</v>
      </c>
      <c r="D130" s="2">
        <v>6963.0</v>
      </c>
      <c r="E130" s="2">
        <v>2096.0</v>
      </c>
      <c r="F130" s="1" t="s">
        <v>329</v>
      </c>
    </row>
    <row r="131">
      <c r="A131" s="1" t="s">
        <v>152</v>
      </c>
      <c r="B131" s="2">
        <v>31185.0</v>
      </c>
      <c r="C131" s="2">
        <v>23068.0</v>
      </c>
      <c r="D131" s="2">
        <v>31185.0</v>
      </c>
      <c r="E131" s="2">
        <v>23068.0</v>
      </c>
      <c r="F131" s="1" t="s">
        <v>329</v>
      </c>
    </row>
    <row r="132">
      <c r="A132" s="1" t="s">
        <v>153</v>
      </c>
      <c r="B132" s="2">
        <v>310973.0</v>
      </c>
      <c r="C132" s="2">
        <v>38472.0</v>
      </c>
      <c r="D132" s="2">
        <v>326521.0</v>
      </c>
      <c r="E132" s="2">
        <v>38472.0</v>
      </c>
      <c r="F132" s="1" t="s">
        <v>330</v>
      </c>
      <c r="G132" s="1" t="s">
        <v>333</v>
      </c>
    </row>
    <row r="133">
      <c r="A133" s="1" t="s">
        <v>154</v>
      </c>
      <c r="B133" s="2">
        <v>358817.0</v>
      </c>
      <c r="C133" s="2">
        <v>40987.0</v>
      </c>
      <c r="D133" s="2">
        <v>358817.0</v>
      </c>
      <c r="E133" s="2">
        <v>40577.0</v>
      </c>
      <c r="F133" s="1" t="s">
        <v>329</v>
      </c>
    </row>
    <row r="134">
      <c r="A134" s="1" t="s">
        <v>155</v>
      </c>
      <c r="B134" s="2">
        <v>14867.0</v>
      </c>
      <c r="C134" s="2">
        <v>2981.0</v>
      </c>
      <c r="D134" s="2">
        <v>14867.0</v>
      </c>
      <c r="E134" s="2">
        <v>2981.0</v>
      </c>
      <c r="F134" s="1" t="s">
        <v>329</v>
      </c>
    </row>
    <row r="135">
      <c r="A135" s="1" t="s">
        <v>156</v>
      </c>
      <c r="B135" s="2">
        <v>218900.0</v>
      </c>
      <c r="C135" s="2">
        <v>23175.0</v>
      </c>
      <c r="D135" s="2">
        <v>218900.0</v>
      </c>
      <c r="E135" s="2">
        <v>23175.0</v>
      </c>
      <c r="F135" s="1" t="s">
        <v>329</v>
      </c>
    </row>
    <row r="136">
      <c r="A136" s="1" t="s">
        <v>157</v>
      </c>
      <c r="B136" s="2">
        <v>72617.0</v>
      </c>
      <c r="C136" s="2">
        <v>43451.0</v>
      </c>
      <c r="D136" s="2">
        <v>76247.0</v>
      </c>
      <c r="E136" s="2">
        <v>43451.0</v>
      </c>
      <c r="F136" s="1" t="s">
        <v>330</v>
      </c>
      <c r="G136" s="1" t="s">
        <v>333</v>
      </c>
    </row>
    <row r="137">
      <c r="A137" s="1" t="s">
        <v>158</v>
      </c>
      <c r="B137" s="2">
        <v>22962.0</v>
      </c>
      <c r="C137" s="2">
        <v>4874.0</v>
      </c>
      <c r="D137" s="2">
        <v>22962.0</v>
      </c>
      <c r="E137" s="2">
        <v>4874.0</v>
      </c>
      <c r="F137" s="1" t="s">
        <v>329</v>
      </c>
    </row>
    <row r="138">
      <c r="A138" s="1" t="s">
        <v>159</v>
      </c>
      <c r="B138" s="2">
        <v>156275.0</v>
      </c>
      <c r="C138" s="2">
        <v>11414.0</v>
      </c>
      <c r="D138" s="2">
        <v>156275.0</v>
      </c>
      <c r="E138" s="2">
        <v>11414.0</v>
      </c>
      <c r="F138" s="1" t="s">
        <v>329</v>
      </c>
    </row>
    <row r="139">
      <c r="A139" s="1" t="s">
        <v>160</v>
      </c>
      <c r="B139" s="2">
        <v>17556.0</v>
      </c>
      <c r="C139" s="2">
        <v>37016.0</v>
      </c>
      <c r="D139" s="2">
        <v>17556.0</v>
      </c>
      <c r="E139" s="2">
        <v>37016.0</v>
      </c>
      <c r="F139" s="1" t="s">
        <v>329</v>
      </c>
    </row>
    <row r="140">
      <c r="A140" s="1" t="s">
        <v>161</v>
      </c>
      <c r="B140" s="2">
        <v>102836.0</v>
      </c>
      <c r="C140" s="2">
        <v>10430.0</v>
      </c>
      <c r="D140" s="2">
        <v>102836.0</v>
      </c>
      <c r="E140" s="2">
        <v>10430.0</v>
      </c>
      <c r="F140" s="1" t="s">
        <v>329</v>
      </c>
    </row>
    <row r="141">
      <c r="A141" s="1" t="s">
        <v>162</v>
      </c>
      <c r="B141" s="2">
        <v>134365.0</v>
      </c>
      <c r="C141" s="2">
        <v>24559.0</v>
      </c>
      <c r="D141" s="2">
        <v>131677.0</v>
      </c>
      <c r="E141" s="2">
        <v>24559.0</v>
      </c>
      <c r="F141" s="1" t="s">
        <v>329</v>
      </c>
    </row>
    <row r="142">
      <c r="A142" s="1" t="s">
        <v>163</v>
      </c>
      <c r="B142" s="2">
        <v>26864.0</v>
      </c>
      <c r="C142" s="2">
        <v>9092.0</v>
      </c>
      <c r="D142" s="2">
        <v>24177.0</v>
      </c>
      <c r="E142" s="2">
        <v>4546.0</v>
      </c>
      <c r="F142" s="1" t="s">
        <v>330</v>
      </c>
      <c r="G142" s="1" t="s">
        <v>335</v>
      </c>
    </row>
    <row r="143">
      <c r="A143" s="1" t="s">
        <v>164</v>
      </c>
      <c r="B143" s="2">
        <v>200137.0</v>
      </c>
      <c r="C143" s="2">
        <v>27920.0</v>
      </c>
      <c r="D143" s="2">
        <v>200137.0</v>
      </c>
      <c r="E143" s="2">
        <v>27920.0</v>
      </c>
      <c r="F143" s="1" t="s">
        <v>329</v>
      </c>
    </row>
    <row r="144">
      <c r="A144" s="1" t="s">
        <v>165</v>
      </c>
      <c r="B144" s="2">
        <v>201199.0</v>
      </c>
      <c r="C144" s="2">
        <v>18040.0</v>
      </c>
      <c r="D144" s="2">
        <v>201199.0</v>
      </c>
      <c r="E144" s="2">
        <v>18040.0</v>
      </c>
      <c r="F144" s="1" t="s">
        <v>329</v>
      </c>
    </row>
    <row r="145">
      <c r="A145" s="1" t="s">
        <v>166</v>
      </c>
      <c r="B145" s="2">
        <v>216298.0</v>
      </c>
      <c r="C145" s="2">
        <v>28044.0</v>
      </c>
      <c r="D145" s="2">
        <v>216298.0</v>
      </c>
      <c r="E145" s="2">
        <v>28044.0</v>
      </c>
      <c r="F145" s="1" t="s">
        <v>329</v>
      </c>
    </row>
    <row r="146">
      <c r="A146" s="1" t="s">
        <v>167</v>
      </c>
      <c r="B146" s="2">
        <v>496026.0</v>
      </c>
      <c r="C146" s="2">
        <v>45369.0</v>
      </c>
      <c r="D146" s="2">
        <v>496026.0</v>
      </c>
      <c r="E146" s="2">
        <v>45369.0</v>
      </c>
      <c r="F146" s="1" t="s">
        <v>329</v>
      </c>
    </row>
    <row r="147">
      <c r="A147" s="1" t="s">
        <v>168</v>
      </c>
      <c r="B147" s="2">
        <v>227142.0</v>
      </c>
      <c r="C147" s="2">
        <v>52986.0</v>
      </c>
      <c r="D147" s="2">
        <v>227142.0</v>
      </c>
      <c r="E147" s="2">
        <v>52986.0</v>
      </c>
      <c r="F147" s="1" t="s">
        <v>329</v>
      </c>
    </row>
    <row r="148">
      <c r="A148" s="1" t="s">
        <v>169</v>
      </c>
      <c r="B148" s="2">
        <v>20030.0</v>
      </c>
      <c r="C148" s="2">
        <v>3633.0</v>
      </c>
      <c r="D148" s="2">
        <v>20030.0</v>
      </c>
      <c r="E148" s="2">
        <v>3596.0</v>
      </c>
      <c r="F148" s="1" t="s">
        <v>329</v>
      </c>
    </row>
    <row r="149">
      <c r="A149" s="1" t="s">
        <v>170</v>
      </c>
      <c r="B149" s="2">
        <v>81973.0</v>
      </c>
      <c r="C149" s="2">
        <v>17273.0</v>
      </c>
      <c r="D149" s="2">
        <v>81973.0</v>
      </c>
      <c r="E149" s="2">
        <v>17273.0</v>
      </c>
      <c r="F149" s="1" t="s">
        <v>329</v>
      </c>
    </row>
    <row r="150">
      <c r="A150" s="1" t="s">
        <v>171</v>
      </c>
      <c r="B150" s="2">
        <v>223269.0</v>
      </c>
      <c r="C150" s="2">
        <v>39678.0</v>
      </c>
      <c r="D150" s="2">
        <v>223269.0</v>
      </c>
      <c r="E150" s="2">
        <v>39678.0</v>
      </c>
      <c r="F150" s="1" t="s">
        <v>329</v>
      </c>
    </row>
    <row r="151">
      <c r="A151" s="1" t="s">
        <v>172</v>
      </c>
      <c r="B151" s="2">
        <v>19232.0</v>
      </c>
      <c r="C151" s="2">
        <v>3148.0</v>
      </c>
      <c r="D151" s="2">
        <v>19232.0</v>
      </c>
      <c r="E151" s="2">
        <v>3148.0</v>
      </c>
      <c r="F151" s="1" t="s">
        <v>329</v>
      </c>
    </row>
    <row r="152">
      <c r="A152" s="1" t="s">
        <v>173</v>
      </c>
      <c r="B152" s="2">
        <v>218076.0</v>
      </c>
      <c r="C152" s="2">
        <v>21783.0</v>
      </c>
      <c r="D152" s="2">
        <v>213714.0</v>
      </c>
      <c r="E152" s="2">
        <v>21783.0</v>
      </c>
      <c r="F152" s="1" t="s">
        <v>329</v>
      </c>
    </row>
    <row r="153">
      <c r="A153" s="1" t="s">
        <v>174</v>
      </c>
      <c r="B153" s="2">
        <v>48975.0</v>
      </c>
      <c r="C153" s="2">
        <v>12782.0</v>
      </c>
      <c r="D153" s="2">
        <v>48975.0</v>
      </c>
      <c r="E153" s="2">
        <v>12782.0</v>
      </c>
      <c r="F153" s="1" t="s">
        <v>329</v>
      </c>
    </row>
    <row r="154">
      <c r="A154" s="1" t="s">
        <v>175</v>
      </c>
      <c r="B154" s="2">
        <v>134835.0</v>
      </c>
      <c r="C154" s="2">
        <v>26700.0</v>
      </c>
      <c r="D154" s="2">
        <v>134835.0</v>
      </c>
      <c r="E154" s="2">
        <v>26700.0</v>
      </c>
      <c r="F154" s="1" t="s">
        <v>329</v>
      </c>
    </row>
    <row r="155">
      <c r="A155" s="1" t="s">
        <v>176</v>
      </c>
      <c r="B155" s="2">
        <v>52296.0</v>
      </c>
      <c r="C155" s="2">
        <v>6310.0</v>
      </c>
      <c r="D155" s="2">
        <v>52296.0</v>
      </c>
      <c r="E155" s="2">
        <v>6310.0</v>
      </c>
      <c r="F155" s="1" t="s">
        <v>329</v>
      </c>
    </row>
    <row r="156">
      <c r="A156" s="1" t="s">
        <v>177</v>
      </c>
      <c r="B156" s="2">
        <v>389700.0</v>
      </c>
      <c r="C156" s="2">
        <v>22789.0</v>
      </c>
      <c r="D156" s="2">
        <v>389700.0</v>
      </c>
      <c r="E156" s="2">
        <v>22789.0</v>
      </c>
      <c r="F156" s="1" t="s">
        <v>329</v>
      </c>
    </row>
    <row r="157">
      <c r="A157" s="1" t="s">
        <v>178</v>
      </c>
      <c r="B157" s="2">
        <v>65139.0</v>
      </c>
      <c r="C157" s="2">
        <v>19078.0</v>
      </c>
      <c r="D157" s="2">
        <v>65139.0</v>
      </c>
      <c r="E157" s="2">
        <v>19078.0</v>
      </c>
      <c r="F157" s="1" t="s">
        <v>329</v>
      </c>
    </row>
    <row r="158">
      <c r="A158" s="1" t="s">
        <v>179</v>
      </c>
      <c r="B158" s="2">
        <v>148836.0</v>
      </c>
      <c r="C158" s="2">
        <v>15987.0</v>
      </c>
      <c r="D158" s="2">
        <v>145859.0</v>
      </c>
      <c r="E158" s="2">
        <v>15987.0</v>
      </c>
      <c r="F158" s="1" t="s">
        <v>329</v>
      </c>
    </row>
    <row r="159">
      <c r="A159" s="1" t="s">
        <v>180</v>
      </c>
      <c r="B159" s="2">
        <v>105368.0</v>
      </c>
      <c r="C159" s="2">
        <v>16797.0</v>
      </c>
      <c r="D159" s="2">
        <v>105368.0</v>
      </c>
      <c r="E159" s="2">
        <v>16797.0</v>
      </c>
      <c r="F159" s="1" t="s">
        <v>329</v>
      </c>
    </row>
    <row r="160">
      <c r="A160" s="1" t="s">
        <v>181</v>
      </c>
      <c r="B160" s="2">
        <v>26977.0</v>
      </c>
      <c r="C160" s="2">
        <v>4048.0</v>
      </c>
      <c r="D160" s="2">
        <v>26977.0</v>
      </c>
      <c r="E160" s="2">
        <v>4048.0</v>
      </c>
      <c r="F160" s="1" t="s">
        <v>329</v>
      </c>
    </row>
    <row r="161">
      <c r="A161" s="1" t="s">
        <v>182</v>
      </c>
      <c r="B161" s="2">
        <v>29042.0</v>
      </c>
      <c r="C161" s="2">
        <v>3175.0</v>
      </c>
      <c r="D161" s="2">
        <v>29042.0</v>
      </c>
      <c r="E161" s="2">
        <v>3175.0</v>
      </c>
      <c r="F161" s="1" t="s">
        <v>329</v>
      </c>
    </row>
    <row r="162">
      <c r="A162" s="1" t="s">
        <v>183</v>
      </c>
      <c r="B162" s="2">
        <v>258222.0</v>
      </c>
      <c r="C162" s="2">
        <v>29267.0</v>
      </c>
      <c r="D162" s="2">
        <v>258222.0</v>
      </c>
      <c r="E162" s="2">
        <v>29267.0</v>
      </c>
      <c r="F162" s="1" t="s">
        <v>329</v>
      </c>
    </row>
    <row r="163">
      <c r="A163" s="1" t="s">
        <v>184</v>
      </c>
      <c r="B163" s="2">
        <v>139650.0</v>
      </c>
      <c r="C163" s="2">
        <v>11432.0</v>
      </c>
      <c r="D163" s="2">
        <v>125685.0</v>
      </c>
      <c r="E163" s="2">
        <v>5716.0</v>
      </c>
      <c r="F163" s="1" t="s">
        <v>330</v>
      </c>
      <c r="G163" s="1" t="s">
        <v>335</v>
      </c>
    </row>
    <row r="164">
      <c r="A164" s="1" t="s">
        <v>185</v>
      </c>
      <c r="B164" s="2">
        <v>25652.0</v>
      </c>
      <c r="C164" s="2">
        <v>1315.0</v>
      </c>
      <c r="D164" s="2">
        <v>25652.0</v>
      </c>
      <c r="E164" s="2">
        <v>1315.0</v>
      </c>
      <c r="F164" s="1" t="s">
        <v>329</v>
      </c>
    </row>
    <row r="165">
      <c r="A165" s="1" t="s">
        <v>186</v>
      </c>
      <c r="B165" s="2">
        <v>25994.0</v>
      </c>
      <c r="C165" s="2">
        <v>6356.0</v>
      </c>
      <c r="D165" s="2">
        <v>25994.0</v>
      </c>
      <c r="E165" s="2">
        <v>6356.0</v>
      </c>
      <c r="F165" s="1" t="s">
        <v>329</v>
      </c>
    </row>
    <row r="166">
      <c r="A166" s="1" t="s">
        <v>187</v>
      </c>
      <c r="B166" s="2">
        <v>130485.0</v>
      </c>
      <c r="C166" s="2">
        <v>45289.0</v>
      </c>
      <c r="D166" s="2">
        <v>130485.0</v>
      </c>
      <c r="E166" s="2">
        <v>45289.0</v>
      </c>
      <c r="F166" s="1" t="s">
        <v>329</v>
      </c>
    </row>
    <row r="167">
      <c r="A167" s="1" t="s">
        <v>188</v>
      </c>
      <c r="B167" s="2">
        <v>24798.0</v>
      </c>
      <c r="C167" s="2">
        <v>5843.0</v>
      </c>
      <c r="D167" s="2">
        <v>24798.0</v>
      </c>
      <c r="E167" s="2">
        <v>5784.0</v>
      </c>
      <c r="F167" s="1" t="s">
        <v>329</v>
      </c>
    </row>
    <row r="168">
      <c r="A168" s="1" t="s">
        <v>189</v>
      </c>
      <c r="B168" s="2">
        <v>170798.0</v>
      </c>
      <c r="C168" s="2">
        <v>15894.0</v>
      </c>
      <c r="D168" s="2">
        <v>170798.0</v>
      </c>
      <c r="E168" s="2">
        <v>15894.0</v>
      </c>
      <c r="F168" s="1" t="s">
        <v>329</v>
      </c>
    </row>
    <row r="169">
      <c r="A169" s="1" t="s">
        <v>190</v>
      </c>
      <c r="B169" s="2">
        <v>5905.0</v>
      </c>
      <c r="C169" s="2">
        <v>687.0</v>
      </c>
      <c r="D169" s="2">
        <v>5905.0</v>
      </c>
      <c r="E169" s="2">
        <v>687.0</v>
      </c>
      <c r="F169" s="1" t="s">
        <v>329</v>
      </c>
    </row>
    <row r="170">
      <c r="A170" s="1" t="s">
        <v>191</v>
      </c>
      <c r="B170" s="2">
        <v>66550.0</v>
      </c>
      <c r="C170" s="2">
        <v>16821.0</v>
      </c>
      <c r="D170" s="2">
        <v>66550.0</v>
      </c>
      <c r="E170" s="2">
        <v>16821.0</v>
      </c>
      <c r="F170" s="1" t="s">
        <v>329</v>
      </c>
    </row>
    <row r="171">
      <c r="A171" s="1" t="s">
        <v>192</v>
      </c>
      <c r="B171" s="2">
        <v>328354.0</v>
      </c>
      <c r="C171" s="2">
        <v>30768.0</v>
      </c>
      <c r="D171" s="2">
        <v>328354.0</v>
      </c>
      <c r="E171" s="2">
        <v>30768.0</v>
      </c>
      <c r="F171" s="1" t="s">
        <v>329</v>
      </c>
    </row>
    <row r="172">
      <c r="A172" s="1" t="s">
        <v>193</v>
      </c>
      <c r="B172" s="2">
        <v>94898.0</v>
      </c>
      <c r="C172" s="2">
        <v>11317.0</v>
      </c>
      <c r="D172" s="2">
        <v>94898.0</v>
      </c>
      <c r="E172" s="2">
        <v>11317.0</v>
      </c>
      <c r="F172" s="1" t="s">
        <v>329</v>
      </c>
    </row>
    <row r="173">
      <c r="A173" s="1" t="s">
        <v>194</v>
      </c>
      <c r="B173" s="2">
        <v>136590.0</v>
      </c>
      <c r="C173" s="2">
        <v>20542.0</v>
      </c>
      <c r="D173" s="2">
        <v>133858.0</v>
      </c>
      <c r="E173" s="2">
        <v>20336.0</v>
      </c>
      <c r="F173" s="1" t="s">
        <v>329</v>
      </c>
    </row>
    <row r="174">
      <c r="A174" s="1" t="s">
        <v>195</v>
      </c>
      <c r="B174" s="2">
        <v>113108.0</v>
      </c>
      <c r="C174" s="2">
        <v>53558.0</v>
      </c>
      <c r="D174" s="2">
        <v>113108.0</v>
      </c>
      <c r="E174" s="2">
        <v>53558.0</v>
      </c>
      <c r="F174" s="1" t="s">
        <v>329</v>
      </c>
    </row>
    <row r="175">
      <c r="A175" s="1" t="s">
        <v>196</v>
      </c>
      <c r="B175" s="2">
        <v>178739.0</v>
      </c>
      <c r="C175" s="2">
        <v>29609.0</v>
      </c>
      <c r="D175" s="2">
        <v>178869.0</v>
      </c>
      <c r="E175" s="2">
        <v>29609.0</v>
      </c>
      <c r="F175" s="1" t="s">
        <v>330</v>
      </c>
      <c r="G175" s="1" t="s">
        <v>331</v>
      </c>
    </row>
    <row r="176">
      <c r="A176" s="1" t="s">
        <v>197</v>
      </c>
      <c r="B176" s="2">
        <v>50179.0</v>
      </c>
      <c r="C176" s="2">
        <v>5027.0</v>
      </c>
      <c r="D176" s="2">
        <v>50179.0</v>
      </c>
      <c r="E176" s="2">
        <v>5027.0</v>
      </c>
      <c r="F176" s="1" t="s">
        <v>329</v>
      </c>
    </row>
    <row r="177">
      <c r="A177" s="1" t="s">
        <v>198</v>
      </c>
      <c r="B177" s="2">
        <v>205251.0</v>
      </c>
      <c r="C177" s="2">
        <v>20159.0</v>
      </c>
      <c r="D177" s="2">
        <v>205251.0</v>
      </c>
      <c r="E177" s="2">
        <v>20159.0</v>
      </c>
      <c r="F177" s="1" t="s">
        <v>329</v>
      </c>
    </row>
    <row r="178">
      <c r="A178" s="1" t="s">
        <v>199</v>
      </c>
      <c r="B178" s="2">
        <v>484957.0</v>
      </c>
      <c r="C178" s="2">
        <v>33527.0</v>
      </c>
      <c r="D178" s="2">
        <v>484957.0</v>
      </c>
      <c r="E178" s="2">
        <v>33527.0</v>
      </c>
      <c r="F178" s="1" t="s">
        <v>329</v>
      </c>
    </row>
    <row r="179">
      <c r="A179" s="1" t="s">
        <v>200</v>
      </c>
      <c r="B179" s="2">
        <v>50520.0</v>
      </c>
      <c r="C179" s="2">
        <v>15868.0</v>
      </c>
      <c r="D179" s="2">
        <v>50520.0</v>
      </c>
      <c r="E179" s="2">
        <v>15868.0</v>
      </c>
      <c r="F179" s="1" t="s">
        <v>329</v>
      </c>
    </row>
    <row r="180">
      <c r="A180" s="1" t="s">
        <v>201</v>
      </c>
      <c r="B180" s="2">
        <v>72463.0</v>
      </c>
      <c r="C180" s="2">
        <v>8645.0</v>
      </c>
      <c r="D180" s="2">
        <v>72463.0</v>
      </c>
      <c r="E180" s="2">
        <v>8645.0</v>
      </c>
      <c r="F180" s="1" t="s">
        <v>329</v>
      </c>
    </row>
    <row r="181">
      <c r="A181" s="1" t="s">
        <v>202</v>
      </c>
      <c r="B181" s="2">
        <v>79336.0</v>
      </c>
      <c r="C181" s="2">
        <v>30727.0</v>
      </c>
      <c r="D181" s="2">
        <v>80135.0</v>
      </c>
      <c r="E181" s="2">
        <v>30727.0</v>
      </c>
      <c r="F181" s="1" t="s">
        <v>330</v>
      </c>
      <c r="G181" s="1" t="s">
        <v>331</v>
      </c>
    </row>
    <row r="182">
      <c r="A182" s="1" t="s">
        <v>203</v>
      </c>
      <c r="B182" s="2">
        <v>49303.0</v>
      </c>
      <c r="C182" s="2">
        <v>12661.0</v>
      </c>
      <c r="D182" s="2">
        <v>49303.0</v>
      </c>
      <c r="E182" s="2">
        <v>12661.0</v>
      </c>
      <c r="F182" s="1" t="s">
        <v>329</v>
      </c>
    </row>
    <row r="183">
      <c r="A183" s="1" t="s">
        <v>204</v>
      </c>
      <c r="B183" s="2">
        <v>425876.0</v>
      </c>
      <c r="C183" s="2">
        <v>30270.0</v>
      </c>
      <c r="D183" s="2">
        <v>425876.0</v>
      </c>
      <c r="E183" s="2">
        <v>30270.0</v>
      </c>
      <c r="F183" s="1" t="s">
        <v>329</v>
      </c>
    </row>
    <row r="184">
      <c r="A184" s="1" t="s">
        <v>205</v>
      </c>
      <c r="B184" s="2">
        <v>108752.0</v>
      </c>
      <c r="C184" s="2">
        <v>16597.0</v>
      </c>
      <c r="D184" s="2">
        <v>108752.0</v>
      </c>
      <c r="E184" s="2">
        <v>16597.0</v>
      </c>
      <c r="F184" s="1" t="s">
        <v>329</v>
      </c>
    </row>
    <row r="185">
      <c r="A185" s="1" t="s">
        <v>206</v>
      </c>
      <c r="B185" s="2">
        <v>175302.0</v>
      </c>
      <c r="C185" s="2">
        <v>23689.0</v>
      </c>
      <c r="D185" s="2">
        <v>175302.0</v>
      </c>
      <c r="E185" s="2">
        <v>23689.0</v>
      </c>
      <c r="F185" s="1" t="s">
        <v>329</v>
      </c>
    </row>
    <row r="186">
      <c r="A186" s="1" t="s">
        <v>207</v>
      </c>
      <c r="B186" s="2">
        <v>243577.0</v>
      </c>
      <c r="C186" s="2">
        <v>31765.0</v>
      </c>
      <c r="D186" s="2">
        <v>243577.0</v>
      </c>
      <c r="E186" s="2">
        <v>31765.0</v>
      </c>
      <c r="F186" s="1" t="s">
        <v>329</v>
      </c>
    </row>
    <row r="187">
      <c r="A187" s="1" t="s">
        <v>208</v>
      </c>
      <c r="B187" s="2">
        <v>23218.0</v>
      </c>
      <c r="C187" s="2">
        <v>2794.0</v>
      </c>
      <c r="D187" s="2">
        <v>23218.0</v>
      </c>
      <c r="E187" s="2">
        <v>2794.0</v>
      </c>
      <c r="F187" s="1" t="s">
        <v>329</v>
      </c>
    </row>
    <row r="188">
      <c r="A188" s="1" t="s">
        <v>209</v>
      </c>
      <c r="B188" s="2">
        <v>5814.0</v>
      </c>
      <c r="C188" s="2">
        <v>2509.0</v>
      </c>
      <c r="D188" s="2">
        <v>5814.0</v>
      </c>
      <c r="E188" s="2">
        <v>2509.0</v>
      </c>
      <c r="F188" s="1" t="s">
        <v>329</v>
      </c>
    </row>
    <row r="189">
      <c r="A189" s="1" t="s">
        <v>210</v>
      </c>
      <c r="B189" s="2">
        <v>412010.0</v>
      </c>
      <c r="C189" s="2">
        <v>30551.0</v>
      </c>
      <c r="D189" s="2">
        <v>412010.0</v>
      </c>
      <c r="E189" s="2">
        <v>30551.0</v>
      </c>
      <c r="F189" s="1" t="s">
        <v>329</v>
      </c>
    </row>
    <row r="190">
      <c r="A190" s="1" t="s">
        <v>211</v>
      </c>
      <c r="B190" s="2">
        <v>114762.0</v>
      </c>
      <c r="C190" s="2">
        <v>16973.0</v>
      </c>
      <c r="D190" s="2">
        <v>114762.0</v>
      </c>
      <c r="E190" s="2">
        <v>16973.0</v>
      </c>
      <c r="F190" s="1" t="s">
        <v>329</v>
      </c>
    </row>
    <row r="191">
      <c r="A191" s="1" t="s">
        <v>212</v>
      </c>
      <c r="B191" s="2">
        <v>19959.0</v>
      </c>
      <c r="C191" s="2">
        <v>1250.0</v>
      </c>
      <c r="D191" s="2">
        <v>19959.0</v>
      </c>
      <c r="E191" s="2">
        <v>1250.0</v>
      </c>
      <c r="F191" s="1" t="s">
        <v>329</v>
      </c>
    </row>
    <row r="192">
      <c r="A192" s="1" t="s">
        <v>213</v>
      </c>
      <c r="B192" s="2">
        <v>45390.0</v>
      </c>
      <c r="C192" s="2">
        <v>26427.0</v>
      </c>
      <c r="D192" s="2">
        <v>45390.0</v>
      </c>
      <c r="E192" s="2">
        <v>26427.0</v>
      </c>
      <c r="F192" s="1" t="s">
        <v>329</v>
      </c>
    </row>
    <row r="193">
      <c r="A193" s="1" t="s">
        <v>214</v>
      </c>
      <c r="B193" s="2">
        <v>387413.0</v>
      </c>
      <c r="C193" s="2">
        <v>54918.0</v>
      </c>
      <c r="D193" s="2">
        <v>387413.0</v>
      </c>
      <c r="E193" s="2">
        <v>54918.0</v>
      </c>
      <c r="F193" s="1" t="s">
        <v>329</v>
      </c>
    </row>
    <row r="194">
      <c r="A194" s="1" t="s">
        <v>215</v>
      </c>
      <c r="B194" s="2">
        <v>114411.0</v>
      </c>
      <c r="C194" s="2">
        <v>26881.0</v>
      </c>
      <c r="D194" s="2">
        <v>114411.0</v>
      </c>
      <c r="E194" s="2">
        <v>26881.0</v>
      </c>
      <c r="F194" s="1" t="s">
        <v>329</v>
      </c>
    </row>
    <row r="195">
      <c r="A195" s="1" t="s">
        <v>216</v>
      </c>
      <c r="B195" s="2">
        <v>27266.0</v>
      </c>
      <c r="C195" s="2">
        <v>12880.0</v>
      </c>
      <c r="D195" s="2">
        <v>28629.0</v>
      </c>
      <c r="E195" s="2">
        <v>12880.0</v>
      </c>
      <c r="F195" s="1" t="s">
        <v>330</v>
      </c>
      <c r="G195" s="1" t="s">
        <v>333</v>
      </c>
    </row>
    <row r="196">
      <c r="A196" s="1" t="s">
        <v>217</v>
      </c>
      <c r="B196" s="2">
        <v>228576.0</v>
      </c>
      <c r="C196" s="2">
        <v>22933.0</v>
      </c>
      <c r="D196" s="2">
        <v>228576.0</v>
      </c>
      <c r="E196" s="2">
        <v>22933.0</v>
      </c>
      <c r="F196" s="1" t="s">
        <v>329</v>
      </c>
    </row>
    <row r="197">
      <c r="A197" s="1" t="s">
        <v>218</v>
      </c>
      <c r="B197" s="2">
        <v>96653.0</v>
      </c>
      <c r="C197" s="2">
        <v>10718.0</v>
      </c>
      <c r="D197" s="2">
        <v>94719.0</v>
      </c>
      <c r="E197" s="2">
        <v>10718.0</v>
      </c>
      <c r="F197" s="1" t="s">
        <v>329</v>
      </c>
    </row>
    <row r="198">
      <c r="A198" s="1" t="s">
        <v>219</v>
      </c>
      <c r="B198" s="2">
        <v>54167.0</v>
      </c>
      <c r="C198" s="2">
        <v>25328.0</v>
      </c>
      <c r="D198" s="2">
        <v>54167.0</v>
      </c>
      <c r="E198" s="2">
        <v>25328.0</v>
      </c>
      <c r="F198" s="1" t="s">
        <v>329</v>
      </c>
    </row>
    <row r="199">
      <c r="A199" s="1" t="s">
        <v>220</v>
      </c>
      <c r="B199" s="2">
        <v>182518.0</v>
      </c>
      <c r="C199" s="2">
        <v>56410.0</v>
      </c>
      <c r="D199" s="2">
        <v>182518.0</v>
      </c>
      <c r="E199" s="2">
        <v>56410.0</v>
      </c>
      <c r="F199" s="1" t="s">
        <v>329</v>
      </c>
    </row>
    <row r="200">
      <c r="A200" s="1" t="s">
        <v>221</v>
      </c>
      <c r="B200" s="2">
        <v>484656.0</v>
      </c>
      <c r="C200" s="2">
        <v>33488.0</v>
      </c>
      <c r="D200" s="2">
        <v>484656.0</v>
      </c>
      <c r="E200" s="2">
        <v>33488.0</v>
      </c>
      <c r="F200" s="1" t="s">
        <v>329</v>
      </c>
    </row>
    <row r="201">
      <c r="A201" s="1" t="s">
        <v>222</v>
      </c>
      <c r="B201" s="2">
        <v>115195.0</v>
      </c>
      <c r="C201" s="2">
        <v>24435.0</v>
      </c>
      <c r="D201" s="2">
        <v>115195.0</v>
      </c>
      <c r="E201" s="2">
        <v>24435.0</v>
      </c>
      <c r="F201" s="1" t="s">
        <v>329</v>
      </c>
    </row>
    <row r="202">
      <c r="A202" s="1" t="s">
        <v>223</v>
      </c>
      <c r="B202" s="2">
        <v>77446.0</v>
      </c>
      <c r="C202" s="2">
        <v>9810.0</v>
      </c>
      <c r="D202" s="2">
        <v>77446.0</v>
      </c>
      <c r="E202" s="2">
        <v>9810.0</v>
      </c>
      <c r="F202" s="1" t="s">
        <v>329</v>
      </c>
    </row>
    <row r="203">
      <c r="A203" s="1" t="s">
        <v>224</v>
      </c>
      <c r="B203" s="2">
        <v>238028.0</v>
      </c>
      <c r="C203" s="2">
        <v>20310.0</v>
      </c>
      <c r="D203" s="2">
        <v>238028.0</v>
      </c>
      <c r="E203" s="2">
        <v>20310.0</v>
      </c>
      <c r="F203" s="1" t="s">
        <v>329</v>
      </c>
    </row>
    <row r="204">
      <c r="A204" s="1" t="s">
        <v>225</v>
      </c>
      <c r="B204" s="2">
        <v>37186.0</v>
      </c>
      <c r="C204" s="2">
        <v>9906.0</v>
      </c>
      <c r="D204" s="2">
        <v>29748.0</v>
      </c>
      <c r="E204" s="2">
        <v>9906.0</v>
      </c>
      <c r="F204" s="1" t="s">
        <v>330</v>
      </c>
      <c r="G204" s="1" t="s">
        <v>334</v>
      </c>
    </row>
    <row r="205">
      <c r="A205" s="1" t="s">
        <v>226</v>
      </c>
      <c r="B205" s="2">
        <v>106109.0</v>
      </c>
      <c r="C205" s="2">
        <v>14993.0</v>
      </c>
      <c r="D205" s="2">
        <v>106109.0</v>
      </c>
      <c r="E205" s="2">
        <v>14843.0</v>
      </c>
      <c r="F205" s="1" t="s">
        <v>329</v>
      </c>
    </row>
    <row r="206">
      <c r="A206" s="1" t="s">
        <v>227</v>
      </c>
      <c r="B206" s="2">
        <v>62152.0</v>
      </c>
      <c r="C206" s="2">
        <v>41052.0</v>
      </c>
      <c r="D206" s="2">
        <v>62152.0</v>
      </c>
      <c r="E206" s="2">
        <v>41052.0</v>
      </c>
      <c r="F206" s="1" t="s">
        <v>329</v>
      </c>
    </row>
    <row r="207">
      <c r="A207" s="1" t="s">
        <v>228</v>
      </c>
      <c r="B207" s="2">
        <v>2254.0</v>
      </c>
      <c r="C207" s="2">
        <v>829.0</v>
      </c>
      <c r="D207" s="2">
        <v>2254.0</v>
      </c>
      <c r="E207" s="2">
        <v>829.0</v>
      </c>
      <c r="F207" s="1" t="s">
        <v>329</v>
      </c>
    </row>
    <row r="208">
      <c r="A208" s="1" t="s">
        <v>229</v>
      </c>
      <c r="B208" s="2">
        <v>16303.0</v>
      </c>
      <c r="C208" s="2">
        <v>1370.0</v>
      </c>
      <c r="D208" s="2">
        <v>16303.0</v>
      </c>
      <c r="E208" s="2">
        <v>1370.0</v>
      </c>
      <c r="F208" s="1" t="s">
        <v>329</v>
      </c>
    </row>
    <row r="209">
      <c r="A209" s="1" t="s">
        <v>230</v>
      </c>
      <c r="B209" s="2">
        <v>424966.0</v>
      </c>
      <c r="C209" s="2">
        <v>29131.0</v>
      </c>
      <c r="D209" s="2">
        <v>254979.0</v>
      </c>
      <c r="E209" s="2">
        <v>29131.0</v>
      </c>
      <c r="F209" s="1" t="s">
        <v>330</v>
      </c>
      <c r="G209" s="1" t="s">
        <v>332</v>
      </c>
    </row>
    <row r="210">
      <c r="A210" s="1" t="s">
        <v>231</v>
      </c>
      <c r="B210" s="2">
        <v>421436.0</v>
      </c>
      <c r="C210" s="2">
        <v>25577.0</v>
      </c>
      <c r="D210" s="2">
        <v>421436.0</v>
      </c>
      <c r="E210" s="2">
        <v>25577.0</v>
      </c>
      <c r="F210" s="1" t="s">
        <v>329</v>
      </c>
    </row>
    <row r="211">
      <c r="A211" s="1" t="s">
        <v>232</v>
      </c>
      <c r="B211" s="2">
        <v>197606.0</v>
      </c>
      <c r="C211" s="2">
        <v>22571.0</v>
      </c>
      <c r="D211" s="2">
        <v>197606.0</v>
      </c>
      <c r="E211" s="2">
        <v>22345.0</v>
      </c>
      <c r="F211" s="1" t="s">
        <v>329</v>
      </c>
    </row>
    <row r="212">
      <c r="A212" s="1" t="s">
        <v>233</v>
      </c>
      <c r="B212" s="2">
        <v>72728.0</v>
      </c>
      <c r="C212" s="2">
        <v>19709.0</v>
      </c>
      <c r="D212" s="2">
        <v>72728.0</v>
      </c>
      <c r="E212" s="2">
        <v>19709.0</v>
      </c>
      <c r="F212" s="1" t="s">
        <v>329</v>
      </c>
    </row>
    <row r="213">
      <c r="A213" s="1" t="s">
        <v>234</v>
      </c>
      <c r="B213" s="2">
        <v>67038.0</v>
      </c>
      <c r="C213" s="2">
        <v>13763.0</v>
      </c>
      <c r="D213" s="2">
        <v>67841.0</v>
      </c>
      <c r="E213" s="2">
        <v>13763.0</v>
      </c>
      <c r="F213" s="1" t="s">
        <v>330</v>
      </c>
      <c r="G213" s="1" t="s">
        <v>331</v>
      </c>
    </row>
    <row r="214">
      <c r="A214" s="1" t="s">
        <v>235</v>
      </c>
      <c r="B214" s="2">
        <v>264467.0</v>
      </c>
      <c r="C214" s="2">
        <v>46667.0</v>
      </c>
      <c r="D214" s="2">
        <v>158680.0</v>
      </c>
      <c r="E214" s="2">
        <v>46667.0</v>
      </c>
      <c r="F214" s="1" t="s">
        <v>330</v>
      </c>
      <c r="G214" s="1" t="s">
        <v>332</v>
      </c>
    </row>
    <row r="215">
      <c r="A215" s="1" t="s">
        <v>236</v>
      </c>
      <c r="B215" s="2">
        <v>73486.0</v>
      </c>
      <c r="C215" s="2">
        <v>23374.0</v>
      </c>
      <c r="D215" s="2">
        <v>73486.0</v>
      </c>
      <c r="E215" s="2">
        <v>23374.0</v>
      </c>
      <c r="F215" s="1" t="s">
        <v>329</v>
      </c>
    </row>
    <row r="216">
      <c r="A216" s="1" t="s">
        <v>237</v>
      </c>
      <c r="B216" s="2">
        <v>63078.0</v>
      </c>
      <c r="C216" s="2">
        <v>8244.0</v>
      </c>
      <c r="D216" s="2">
        <v>63078.0</v>
      </c>
      <c r="E216" s="2">
        <v>8244.0</v>
      </c>
      <c r="F216" s="1" t="s">
        <v>329</v>
      </c>
    </row>
    <row r="217">
      <c r="A217" s="1" t="s">
        <v>238</v>
      </c>
      <c r="B217" s="2">
        <v>13093.0</v>
      </c>
      <c r="C217" s="2">
        <v>4896.0</v>
      </c>
      <c r="D217" s="2">
        <v>13093.0</v>
      </c>
      <c r="E217" s="2">
        <v>4896.0</v>
      </c>
      <c r="F217" s="1" t="s">
        <v>329</v>
      </c>
    </row>
    <row r="218">
      <c r="A218" s="1" t="s">
        <v>239</v>
      </c>
      <c r="B218" s="2">
        <v>355174.0</v>
      </c>
      <c r="C218" s="2">
        <v>40963.0</v>
      </c>
      <c r="D218" s="2">
        <v>355174.0</v>
      </c>
      <c r="E218" s="2">
        <v>40963.0</v>
      </c>
      <c r="F218" s="1" t="s">
        <v>329</v>
      </c>
    </row>
    <row r="219">
      <c r="A219" s="1" t="s">
        <v>240</v>
      </c>
      <c r="B219" s="2">
        <v>182595.0</v>
      </c>
      <c r="C219" s="2">
        <v>37654.0</v>
      </c>
      <c r="D219" s="2">
        <v>183322.0</v>
      </c>
      <c r="E219" s="2">
        <v>37654.0</v>
      </c>
      <c r="F219" s="1" t="s">
        <v>330</v>
      </c>
      <c r="G219" s="1" t="s">
        <v>331</v>
      </c>
    </row>
    <row r="220">
      <c r="A220" s="1" t="s">
        <v>241</v>
      </c>
      <c r="B220" s="2">
        <v>52579.0</v>
      </c>
      <c r="C220" s="2">
        <v>15372.0</v>
      </c>
      <c r="D220" s="2">
        <v>52579.0</v>
      </c>
      <c r="E220" s="2">
        <v>15372.0</v>
      </c>
      <c r="F220" s="1" t="s">
        <v>329</v>
      </c>
    </row>
    <row r="221">
      <c r="A221" s="1" t="s">
        <v>242</v>
      </c>
      <c r="B221" s="2">
        <v>174227.0</v>
      </c>
      <c r="C221" s="2">
        <v>16761.0</v>
      </c>
      <c r="D221" s="2">
        <v>174818.0</v>
      </c>
      <c r="E221" s="2">
        <v>16761.0</v>
      </c>
      <c r="F221" s="1" t="s">
        <v>330</v>
      </c>
      <c r="G221" s="1" t="s">
        <v>331</v>
      </c>
    </row>
    <row r="222">
      <c r="A222" s="1" t="s">
        <v>243</v>
      </c>
      <c r="B222" s="2">
        <v>205313.0</v>
      </c>
      <c r="C222" s="2">
        <v>20396.0</v>
      </c>
      <c r="D222" s="2">
        <v>205313.0</v>
      </c>
      <c r="E222" s="2">
        <v>20396.0</v>
      </c>
      <c r="F222" s="1" t="s">
        <v>329</v>
      </c>
    </row>
    <row r="223">
      <c r="A223" s="1" t="s">
        <v>244</v>
      </c>
      <c r="B223" s="2">
        <v>45292.0</v>
      </c>
      <c r="C223" s="2">
        <v>18738.0</v>
      </c>
      <c r="D223" s="2">
        <v>45292.0</v>
      </c>
      <c r="E223" s="2">
        <v>18738.0</v>
      </c>
      <c r="F223" s="1" t="s">
        <v>329</v>
      </c>
    </row>
    <row r="224">
      <c r="A224" s="1" t="s">
        <v>245</v>
      </c>
      <c r="B224" s="2">
        <v>95059.0</v>
      </c>
      <c r="C224" s="2">
        <v>16553.0</v>
      </c>
      <c r="D224" s="2">
        <v>85553.0</v>
      </c>
      <c r="E224" s="2">
        <v>8276.0</v>
      </c>
      <c r="F224" s="1" t="s">
        <v>330</v>
      </c>
      <c r="G224" s="1" t="s">
        <v>335</v>
      </c>
    </row>
    <row r="225">
      <c r="A225" s="1" t="s">
        <v>246</v>
      </c>
      <c r="B225" s="2">
        <v>55054.0</v>
      </c>
      <c r="C225" s="2">
        <v>14790.0</v>
      </c>
      <c r="D225" s="2">
        <v>57806.0</v>
      </c>
      <c r="E225" s="2">
        <v>14790.0</v>
      </c>
      <c r="F225" s="1" t="s">
        <v>330</v>
      </c>
      <c r="G225" s="1" t="s">
        <v>333</v>
      </c>
    </row>
    <row r="226">
      <c r="A226" s="1" t="s">
        <v>247</v>
      </c>
      <c r="B226" s="2">
        <v>32159.0</v>
      </c>
      <c r="C226" s="2">
        <v>8553.0</v>
      </c>
      <c r="D226" s="2">
        <v>32159.0</v>
      </c>
      <c r="E226" s="2">
        <v>8553.0</v>
      </c>
      <c r="F226" s="1" t="s">
        <v>329</v>
      </c>
    </row>
    <row r="227">
      <c r="A227" s="1" t="s">
        <v>248</v>
      </c>
      <c r="B227" s="2">
        <v>453922.0</v>
      </c>
      <c r="C227" s="2">
        <v>36073.0</v>
      </c>
      <c r="D227" s="2">
        <v>453922.0</v>
      </c>
      <c r="E227" s="2">
        <v>36073.0</v>
      </c>
      <c r="F227" s="1" t="s">
        <v>329</v>
      </c>
    </row>
    <row r="228">
      <c r="A228" s="1" t="s">
        <v>249</v>
      </c>
      <c r="B228" s="2">
        <v>96944.0</v>
      </c>
      <c r="C228" s="2">
        <v>12849.0</v>
      </c>
      <c r="D228" s="2">
        <v>96944.0</v>
      </c>
      <c r="E228" s="2">
        <v>12849.0</v>
      </c>
      <c r="F228" s="1" t="s">
        <v>329</v>
      </c>
    </row>
    <row r="229">
      <c r="A229" s="1" t="s">
        <v>250</v>
      </c>
      <c r="B229" s="2">
        <v>47003.0</v>
      </c>
      <c r="C229" s="2">
        <v>11245.0</v>
      </c>
      <c r="D229" s="2">
        <v>47003.0</v>
      </c>
      <c r="E229" s="2">
        <v>11245.0</v>
      </c>
      <c r="F229" s="1" t="s">
        <v>329</v>
      </c>
    </row>
    <row r="230">
      <c r="A230" s="1" t="s">
        <v>251</v>
      </c>
      <c r="B230" s="2">
        <v>111104.0</v>
      </c>
      <c r="C230" s="2">
        <v>23932.0</v>
      </c>
      <c r="D230" s="2">
        <v>66662.0</v>
      </c>
      <c r="E230" s="2">
        <v>23932.0</v>
      </c>
      <c r="F230" s="1" t="s">
        <v>330</v>
      </c>
      <c r="G230" s="1" t="s">
        <v>332</v>
      </c>
    </row>
    <row r="231">
      <c r="A231" s="1" t="s">
        <v>252</v>
      </c>
      <c r="B231" s="2">
        <v>61370.0</v>
      </c>
      <c r="C231" s="2">
        <v>4701.0</v>
      </c>
      <c r="D231" s="2">
        <v>61784.0</v>
      </c>
      <c r="E231" s="2">
        <v>4701.0</v>
      </c>
      <c r="F231" s="1" t="s">
        <v>330</v>
      </c>
      <c r="G231" s="1" t="s">
        <v>331</v>
      </c>
    </row>
    <row r="232">
      <c r="A232" s="1" t="s">
        <v>253</v>
      </c>
      <c r="B232" s="2">
        <v>69133.0</v>
      </c>
      <c r="C232" s="2">
        <v>11394.0</v>
      </c>
      <c r="D232" s="2">
        <v>69133.0</v>
      </c>
      <c r="E232" s="2">
        <v>11280.0</v>
      </c>
      <c r="F232" s="1" t="s">
        <v>329</v>
      </c>
    </row>
    <row r="233">
      <c r="A233" s="1" t="s">
        <v>254</v>
      </c>
      <c r="B233" s="2">
        <v>247252.0</v>
      </c>
      <c r="C233" s="2">
        <v>31200.0</v>
      </c>
      <c r="D233" s="2">
        <v>247252.0</v>
      </c>
      <c r="E233" s="2">
        <v>31200.0</v>
      </c>
      <c r="F233" s="1" t="s">
        <v>329</v>
      </c>
    </row>
    <row r="234">
      <c r="A234" s="1" t="s">
        <v>255</v>
      </c>
      <c r="B234" s="2">
        <v>59548.0</v>
      </c>
      <c r="C234" s="2">
        <v>22358.0</v>
      </c>
      <c r="D234" s="2">
        <v>59548.0</v>
      </c>
      <c r="E234" s="2">
        <v>22134.0</v>
      </c>
      <c r="F234" s="1" t="s">
        <v>329</v>
      </c>
    </row>
    <row r="235">
      <c r="A235" s="1" t="s">
        <v>256</v>
      </c>
      <c r="B235" s="2">
        <v>121727.0</v>
      </c>
      <c r="C235" s="2">
        <v>22240.0</v>
      </c>
      <c r="D235" s="2">
        <v>121727.0</v>
      </c>
      <c r="E235" s="2">
        <v>22240.0</v>
      </c>
      <c r="F235" s="1" t="s">
        <v>329</v>
      </c>
    </row>
    <row r="236">
      <c r="A236" s="1" t="s">
        <v>257</v>
      </c>
      <c r="B236" s="2">
        <v>75222.0</v>
      </c>
      <c r="C236" s="2">
        <v>37756.0</v>
      </c>
      <c r="D236" s="2">
        <v>75222.0</v>
      </c>
      <c r="E236" s="2">
        <v>37756.0</v>
      </c>
      <c r="F236" s="1" t="s">
        <v>329</v>
      </c>
    </row>
    <row r="237">
      <c r="A237" s="1" t="s">
        <v>258</v>
      </c>
      <c r="B237" s="2">
        <v>186197.0</v>
      </c>
      <c r="C237" s="2">
        <v>36692.0</v>
      </c>
      <c r="D237" s="2">
        <v>186197.0</v>
      </c>
      <c r="E237" s="2">
        <v>36692.0</v>
      </c>
      <c r="F237" s="1" t="s">
        <v>329</v>
      </c>
    </row>
    <row r="238">
      <c r="A238" s="1" t="s">
        <v>259</v>
      </c>
      <c r="B238" s="2">
        <v>19795.0</v>
      </c>
      <c r="C238" s="2">
        <v>6791.0</v>
      </c>
      <c r="D238" s="2">
        <v>19795.0</v>
      </c>
      <c r="E238" s="2">
        <v>6791.0</v>
      </c>
      <c r="F238" s="1" t="s">
        <v>329</v>
      </c>
    </row>
    <row r="239">
      <c r="A239" s="1" t="s">
        <v>260</v>
      </c>
      <c r="B239" s="2">
        <v>245495.0</v>
      </c>
      <c r="C239" s="2">
        <v>28043.0</v>
      </c>
      <c r="D239" s="2">
        <v>245495.0</v>
      </c>
      <c r="E239" s="2">
        <v>28043.0</v>
      </c>
      <c r="F239" s="1" t="s">
        <v>329</v>
      </c>
    </row>
    <row r="240">
      <c r="A240" s="1" t="s">
        <v>261</v>
      </c>
      <c r="B240" s="2">
        <v>32708.0</v>
      </c>
      <c r="C240" s="2">
        <v>22786.0</v>
      </c>
      <c r="D240" s="2">
        <v>32708.0</v>
      </c>
      <c r="E240" s="2">
        <v>22786.0</v>
      </c>
      <c r="F240" s="1" t="s">
        <v>329</v>
      </c>
    </row>
    <row r="241">
      <c r="A241" s="1" t="s">
        <v>262</v>
      </c>
      <c r="B241" s="2">
        <v>32332.0</v>
      </c>
      <c r="C241" s="2">
        <v>3140.0</v>
      </c>
      <c r="D241" s="2">
        <v>31685.0</v>
      </c>
      <c r="E241" s="2">
        <v>3140.0</v>
      </c>
      <c r="F241" s="1" t="s">
        <v>329</v>
      </c>
    </row>
    <row r="242">
      <c r="A242" s="1" t="s">
        <v>263</v>
      </c>
      <c r="B242" s="2">
        <v>307415.0</v>
      </c>
      <c r="C242" s="2">
        <v>26739.0</v>
      </c>
      <c r="D242" s="2">
        <v>184449.0</v>
      </c>
      <c r="E242" s="2">
        <v>26739.0</v>
      </c>
      <c r="F242" s="1" t="s">
        <v>330</v>
      </c>
      <c r="G242" s="1" t="s">
        <v>332</v>
      </c>
    </row>
    <row r="243">
      <c r="A243" s="1" t="s">
        <v>264</v>
      </c>
      <c r="B243" s="2">
        <v>56302.0</v>
      </c>
      <c r="C243" s="2">
        <v>5849.0</v>
      </c>
      <c r="D243" s="2">
        <v>55175.0</v>
      </c>
      <c r="E243" s="2">
        <v>5849.0</v>
      </c>
      <c r="F243" s="1" t="s">
        <v>329</v>
      </c>
    </row>
    <row r="244">
      <c r="A244" s="1" t="s">
        <v>265</v>
      </c>
      <c r="B244" s="2">
        <v>129173.0</v>
      </c>
      <c r="C244" s="2">
        <v>26470.0</v>
      </c>
      <c r="D244" s="2">
        <v>129173.0</v>
      </c>
      <c r="E244" s="2">
        <v>26470.0</v>
      </c>
      <c r="F244" s="1" t="s">
        <v>329</v>
      </c>
    </row>
    <row r="245">
      <c r="A245" s="1" t="s">
        <v>266</v>
      </c>
      <c r="B245" s="2">
        <v>119878.0</v>
      </c>
      <c r="C245" s="2">
        <v>19801.0</v>
      </c>
      <c r="D245" s="2">
        <v>119878.0</v>
      </c>
      <c r="E245" s="2">
        <v>19801.0</v>
      </c>
      <c r="F245" s="1" t="s">
        <v>329</v>
      </c>
    </row>
    <row r="246">
      <c r="A246" s="1" t="s">
        <v>267</v>
      </c>
      <c r="B246" s="2">
        <v>28873.0</v>
      </c>
      <c r="C246" s="2">
        <v>4885.0</v>
      </c>
      <c r="D246" s="2">
        <v>28295.0</v>
      </c>
      <c r="E246" s="2">
        <v>4885.0</v>
      </c>
      <c r="F246" s="1" t="s">
        <v>329</v>
      </c>
    </row>
    <row r="247">
      <c r="A247" s="1" t="s">
        <v>268</v>
      </c>
      <c r="B247" s="2">
        <v>138306.0</v>
      </c>
      <c r="C247" s="2">
        <v>15774.0</v>
      </c>
      <c r="D247" s="2">
        <v>138306.0</v>
      </c>
      <c r="E247" s="2">
        <v>15774.0</v>
      </c>
      <c r="F247" s="1" t="s">
        <v>329</v>
      </c>
    </row>
    <row r="248">
      <c r="A248" s="1" t="s">
        <v>269</v>
      </c>
      <c r="B248" s="2">
        <v>102641.0</v>
      </c>
      <c r="C248" s="2">
        <v>18927.0</v>
      </c>
      <c r="D248" s="2">
        <v>102641.0</v>
      </c>
      <c r="E248" s="2">
        <v>18927.0</v>
      </c>
      <c r="F248" s="1" t="s">
        <v>329</v>
      </c>
    </row>
    <row r="249">
      <c r="A249" s="1" t="s">
        <v>270</v>
      </c>
      <c r="B249" s="2">
        <v>190449.0</v>
      </c>
      <c r="C249" s="2">
        <v>22284.0</v>
      </c>
      <c r="D249" s="2">
        <v>190449.0</v>
      </c>
      <c r="E249" s="2">
        <v>22284.0</v>
      </c>
      <c r="F249" s="1" t="s">
        <v>329</v>
      </c>
    </row>
    <row r="250">
      <c r="A250" s="1" t="s">
        <v>271</v>
      </c>
      <c r="B250" s="2">
        <v>138528.0</v>
      </c>
      <c r="C250" s="2">
        <v>29320.0</v>
      </c>
      <c r="D250" s="2">
        <v>138973.0</v>
      </c>
      <c r="E250" s="2">
        <v>29320.0</v>
      </c>
      <c r="F250" s="1" t="s">
        <v>330</v>
      </c>
      <c r="G250" s="1" t="s">
        <v>331</v>
      </c>
    </row>
    <row r="251">
      <c r="A251" s="1" t="s">
        <v>272</v>
      </c>
      <c r="B251" s="2">
        <v>312120.0</v>
      </c>
      <c r="C251" s="2">
        <v>26366.0</v>
      </c>
      <c r="D251" s="2">
        <v>312120.0</v>
      </c>
      <c r="E251" s="2">
        <v>26102.0</v>
      </c>
      <c r="F251" s="1" t="s">
        <v>329</v>
      </c>
    </row>
    <row r="252">
      <c r="A252" s="1" t="s">
        <v>273</v>
      </c>
      <c r="B252" s="2">
        <v>184666.0</v>
      </c>
      <c r="C252" s="2">
        <v>50247.0</v>
      </c>
      <c r="D252" s="2">
        <v>184666.0</v>
      </c>
      <c r="E252" s="2">
        <v>50247.0</v>
      </c>
      <c r="F252" s="1" t="s">
        <v>329</v>
      </c>
    </row>
    <row r="253">
      <c r="A253" s="1" t="s">
        <v>274</v>
      </c>
      <c r="B253" s="2">
        <v>29041.0</v>
      </c>
      <c r="C253" s="2">
        <v>6557.0</v>
      </c>
      <c r="D253" s="2">
        <v>23232.0</v>
      </c>
      <c r="E253" s="2">
        <v>6557.0</v>
      </c>
      <c r="F253" s="1" t="s">
        <v>330</v>
      </c>
      <c r="G253" s="1" t="s">
        <v>334</v>
      </c>
    </row>
    <row r="254">
      <c r="A254" s="1" t="s">
        <v>275</v>
      </c>
      <c r="B254" s="2">
        <v>215480.0</v>
      </c>
      <c r="C254" s="2">
        <v>37413.0</v>
      </c>
      <c r="D254" s="2">
        <v>215480.0</v>
      </c>
      <c r="E254" s="2">
        <v>37413.0</v>
      </c>
      <c r="F254" s="1" t="s">
        <v>329</v>
      </c>
    </row>
    <row r="255">
      <c r="A255" s="1" t="s">
        <v>276</v>
      </c>
      <c r="B255" s="2">
        <v>149578.0</v>
      </c>
      <c r="C255" s="2">
        <v>16556.0</v>
      </c>
      <c r="D255" s="2">
        <v>149578.0</v>
      </c>
      <c r="E255" s="2">
        <v>16390.0</v>
      </c>
      <c r="F255" s="1" t="s">
        <v>329</v>
      </c>
    </row>
    <row r="256">
      <c r="A256" s="1" t="s">
        <v>277</v>
      </c>
      <c r="B256" s="2">
        <v>133519.0</v>
      </c>
      <c r="C256" s="2">
        <v>9358.0</v>
      </c>
      <c r="D256" s="2">
        <v>133519.0</v>
      </c>
      <c r="E256" s="2">
        <v>9264.0</v>
      </c>
      <c r="F256" s="1" t="s">
        <v>329</v>
      </c>
    </row>
    <row r="257">
      <c r="A257" s="1" t="s">
        <v>278</v>
      </c>
      <c r="B257" s="2">
        <v>320902.0</v>
      </c>
      <c r="C257" s="2">
        <v>39928.0</v>
      </c>
      <c r="D257" s="2">
        <v>320902.0</v>
      </c>
      <c r="E257" s="2">
        <v>39928.0</v>
      </c>
      <c r="F257" s="1" t="s">
        <v>329</v>
      </c>
    </row>
    <row r="258">
      <c r="A258" s="1" t="s">
        <v>279</v>
      </c>
      <c r="B258" s="2">
        <v>98446.0</v>
      </c>
      <c r="C258" s="2">
        <v>9287.0</v>
      </c>
      <c r="D258" s="2">
        <v>59067.0</v>
      </c>
      <c r="E258" s="2">
        <v>9287.0</v>
      </c>
      <c r="F258" s="1" t="s">
        <v>330</v>
      </c>
      <c r="G258" s="1" t="s">
        <v>332</v>
      </c>
    </row>
    <row r="259">
      <c r="A259" s="1" t="s">
        <v>280</v>
      </c>
      <c r="B259" s="2">
        <v>107565.0</v>
      </c>
      <c r="C259" s="2">
        <v>24527.0</v>
      </c>
      <c r="D259" s="2">
        <v>64539.0</v>
      </c>
      <c r="E259" s="2">
        <v>24527.0</v>
      </c>
      <c r="F259" s="1" t="s">
        <v>330</v>
      </c>
      <c r="G259" s="1" t="s">
        <v>332</v>
      </c>
    </row>
    <row r="260">
      <c r="A260" s="1" t="s">
        <v>281</v>
      </c>
      <c r="B260" s="2">
        <v>344204.0</v>
      </c>
      <c r="C260" s="2">
        <v>55519.0</v>
      </c>
      <c r="D260" s="2">
        <v>344204.0</v>
      </c>
      <c r="E260" s="2">
        <v>55519.0</v>
      </c>
      <c r="F260" s="1" t="s">
        <v>329</v>
      </c>
    </row>
    <row r="261">
      <c r="A261" s="1" t="s">
        <v>282</v>
      </c>
      <c r="B261" s="2">
        <v>277903.0</v>
      </c>
      <c r="C261" s="2">
        <v>39573.0</v>
      </c>
      <c r="D261" s="2">
        <v>166741.0</v>
      </c>
      <c r="E261" s="2">
        <v>39573.0</v>
      </c>
      <c r="F261" s="1" t="s">
        <v>330</v>
      </c>
      <c r="G261" s="1" t="s">
        <v>332</v>
      </c>
    </row>
    <row r="262">
      <c r="A262" s="1" t="s">
        <v>283</v>
      </c>
      <c r="B262" s="2">
        <v>323695.0</v>
      </c>
      <c r="C262" s="2">
        <v>33776.0</v>
      </c>
      <c r="D262" s="2">
        <v>323695.0</v>
      </c>
      <c r="E262" s="2">
        <v>33776.0</v>
      </c>
      <c r="F262" s="1" t="s">
        <v>329</v>
      </c>
    </row>
    <row r="263">
      <c r="A263" s="1" t="s">
        <v>284</v>
      </c>
      <c r="B263" s="2">
        <v>40346.0</v>
      </c>
      <c r="C263" s="2">
        <v>32099.0</v>
      </c>
      <c r="D263" s="2">
        <v>40346.0</v>
      </c>
      <c r="E263" s="2">
        <v>32099.0</v>
      </c>
      <c r="F263" s="1" t="s">
        <v>329</v>
      </c>
    </row>
    <row r="264">
      <c r="A264" s="1" t="s">
        <v>285</v>
      </c>
      <c r="B264" s="2">
        <v>320402.0</v>
      </c>
      <c r="C264" s="2">
        <v>21763.0</v>
      </c>
      <c r="D264" s="2">
        <v>320402.0</v>
      </c>
      <c r="E264" s="2">
        <v>21763.0</v>
      </c>
      <c r="F264" s="1" t="s">
        <v>329</v>
      </c>
    </row>
    <row r="265">
      <c r="A265" s="1" t="s">
        <v>286</v>
      </c>
      <c r="B265" s="2">
        <v>59348.0</v>
      </c>
      <c r="C265" s="2">
        <v>23143.0</v>
      </c>
      <c r="D265" s="2">
        <v>53413.0</v>
      </c>
      <c r="E265" s="2">
        <v>11571.0</v>
      </c>
      <c r="F265" s="1" t="s">
        <v>330</v>
      </c>
      <c r="G265" s="1" t="s">
        <v>335</v>
      </c>
    </row>
    <row r="266">
      <c r="A266" s="1" t="s">
        <v>287</v>
      </c>
      <c r="B266" s="2">
        <v>262408.0</v>
      </c>
      <c r="C266" s="2">
        <v>48464.0</v>
      </c>
      <c r="D266" s="2">
        <v>257159.0</v>
      </c>
      <c r="E266" s="2">
        <v>48464.0</v>
      </c>
      <c r="F266" s="1" t="s">
        <v>329</v>
      </c>
    </row>
    <row r="267">
      <c r="A267" s="1" t="s">
        <v>288</v>
      </c>
      <c r="B267" s="2">
        <v>131863.0</v>
      </c>
      <c r="C267" s="2">
        <v>37638.0</v>
      </c>
      <c r="D267" s="2">
        <v>131863.0</v>
      </c>
      <c r="E267" s="2">
        <v>37638.0</v>
      </c>
      <c r="F267" s="1" t="s">
        <v>329</v>
      </c>
    </row>
    <row r="268">
      <c r="A268" s="1" t="s">
        <v>289</v>
      </c>
      <c r="B268" s="2">
        <v>522915.0</v>
      </c>
      <c r="C268" s="2">
        <v>31612.0</v>
      </c>
      <c r="D268" s="2">
        <v>522915.0</v>
      </c>
      <c r="E268" s="2">
        <v>31612.0</v>
      </c>
      <c r="F268" s="1" t="s">
        <v>329</v>
      </c>
    </row>
    <row r="269">
      <c r="A269" s="1" t="s">
        <v>290</v>
      </c>
      <c r="B269" s="2">
        <v>108212.0</v>
      </c>
      <c r="C269" s="2">
        <v>36800.0</v>
      </c>
      <c r="D269" s="2">
        <v>108212.0</v>
      </c>
      <c r="E269" s="2">
        <v>36800.0</v>
      </c>
      <c r="F269" s="1" t="s">
        <v>329</v>
      </c>
    </row>
    <row r="270">
      <c r="A270" s="1" t="s">
        <v>291</v>
      </c>
      <c r="B270" s="2">
        <v>33639.0</v>
      </c>
      <c r="C270" s="2">
        <v>22721.0</v>
      </c>
      <c r="D270" s="2">
        <v>33639.0</v>
      </c>
      <c r="E270" s="2">
        <v>22721.0</v>
      </c>
      <c r="F270" s="1" t="s">
        <v>329</v>
      </c>
    </row>
    <row r="271">
      <c r="A271" s="1" t="s">
        <v>292</v>
      </c>
      <c r="B271" s="2">
        <v>68502.0</v>
      </c>
      <c r="C271" s="2">
        <v>6041.0</v>
      </c>
      <c r="D271" s="2">
        <v>68502.0</v>
      </c>
      <c r="E271" s="2">
        <v>6041.0</v>
      </c>
      <c r="F271" s="1" t="s">
        <v>329</v>
      </c>
    </row>
    <row r="272">
      <c r="A272" s="1" t="s">
        <v>293</v>
      </c>
      <c r="B272" s="2">
        <v>228346.0</v>
      </c>
      <c r="C272" s="2">
        <v>21813.0</v>
      </c>
      <c r="D272" s="2">
        <v>228346.0</v>
      </c>
      <c r="E272" s="2">
        <v>21813.0</v>
      </c>
      <c r="F272" s="1" t="s">
        <v>329</v>
      </c>
    </row>
    <row r="273">
      <c r="A273" s="1" t="s">
        <v>294</v>
      </c>
      <c r="B273" s="2">
        <v>149144.0</v>
      </c>
      <c r="C273" s="2">
        <v>22740.0</v>
      </c>
      <c r="D273" s="2">
        <v>89486.0</v>
      </c>
      <c r="E273" s="2">
        <v>22740.0</v>
      </c>
      <c r="F273" s="1" t="s">
        <v>330</v>
      </c>
      <c r="G273" s="1" t="s">
        <v>332</v>
      </c>
    </row>
    <row r="274">
      <c r="A274" s="1" t="s">
        <v>295</v>
      </c>
      <c r="B274" s="2">
        <v>41417.0</v>
      </c>
      <c r="C274" s="2">
        <v>27628.0</v>
      </c>
      <c r="D274" s="2">
        <v>41417.0</v>
      </c>
      <c r="E274" s="2">
        <v>27628.0</v>
      </c>
      <c r="F274" s="1" t="s">
        <v>329</v>
      </c>
    </row>
    <row r="275">
      <c r="A275" s="1" t="s">
        <v>296</v>
      </c>
      <c r="B275" s="2">
        <v>47347.0</v>
      </c>
      <c r="C275" s="2">
        <v>5946.0</v>
      </c>
      <c r="D275" s="2">
        <v>42612.0</v>
      </c>
      <c r="E275" s="2">
        <v>2973.0</v>
      </c>
      <c r="F275" s="1" t="s">
        <v>330</v>
      </c>
      <c r="G275" s="1" t="s">
        <v>335</v>
      </c>
    </row>
    <row r="276">
      <c r="A276" s="1" t="s">
        <v>297</v>
      </c>
      <c r="B276" s="2">
        <v>437201.0</v>
      </c>
      <c r="C276" s="2">
        <v>24835.0</v>
      </c>
      <c r="D276" s="2">
        <v>437201.0</v>
      </c>
      <c r="E276" s="2">
        <v>24835.0</v>
      </c>
      <c r="F276" s="1" t="s">
        <v>329</v>
      </c>
    </row>
    <row r="277">
      <c r="A277" s="1" t="s">
        <v>298</v>
      </c>
      <c r="B277" s="2">
        <v>78672.0</v>
      </c>
      <c r="C277" s="2">
        <v>21142.0</v>
      </c>
      <c r="D277" s="2">
        <v>78672.0</v>
      </c>
      <c r="E277" s="2">
        <v>21142.0</v>
      </c>
      <c r="F277" s="1" t="s">
        <v>329</v>
      </c>
    </row>
    <row r="278">
      <c r="A278" s="1" t="s">
        <v>299</v>
      </c>
      <c r="B278" s="2">
        <v>50952.0</v>
      </c>
      <c r="C278" s="2">
        <v>4595.0</v>
      </c>
      <c r="D278" s="2">
        <v>50952.0</v>
      </c>
      <c r="E278" s="2">
        <v>4595.0</v>
      </c>
      <c r="F278" s="1" t="s">
        <v>329</v>
      </c>
    </row>
    <row r="279">
      <c r="A279" s="1" t="s">
        <v>300</v>
      </c>
      <c r="B279" s="2">
        <v>458051.0</v>
      </c>
      <c r="C279" s="2">
        <v>31836.0</v>
      </c>
      <c r="D279" s="2">
        <v>458051.0</v>
      </c>
      <c r="E279" s="2">
        <v>31836.0</v>
      </c>
      <c r="F279" s="1" t="s">
        <v>329</v>
      </c>
    </row>
    <row r="280">
      <c r="A280" s="1" t="s">
        <v>301</v>
      </c>
      <c r="B280" s="2">
        <v>286697.0</v>
      </c>
      <c r="C280" s="2">
        <v>17593.0</v>
      </c>
      <c r="D280" s="2">
        <v>286697.0</v>
      </c>
      <c r="E280" s="2">
        <v>17593.0</v>
      </c>
      <c r="F280" s="1" t="s">
        <v>329</v>
      </c>
    </row>
    <row r="281">
      <c r="A281" s="1" t="s">
        <v>302</v>
      </c>
      <c r="B281" s="2">
        <v>292898.0</v>
      </c>
      <c r="C281" s="2">
        <v>45236.0</v>
      </c>
      <c r="D281" s="2">
        <v>292898.0</v>
      </c>
      <c r="E281" s="2">
        <v>45236.0</v>
      </c>
      <c r="F281" s="1" t="s">
        <v>329</v>
      </c>
    </row>
    <row r="282">
      <c r="A282" s="1" t="s">
        <v>303</v>
      </c>
      <c r="B282" s="2">
        <v>35631.0</v>
      </c>
      <c r="C282" s="2">
        <v>12070.0</v>
      </c>
      <c r="D282" s="2">
        <v>35631.0</v>
      </c>
      <c r="E282" s="2">
        <v>11949.0</v>
      </c>
      <c r="F282" s="1" t="s">
        <v>329</v>
      </c>
    </row>
    <row r="283">
      <c r="A283" s="1" t="s">
        <v>304</v>
      </c>
      <c r="B283" s="2">
        <v>13581.0</v>
      </c>
      <c r="C283" s="2">
        <v>12104.0</v>
      </c>
      <c r="D283" s="2">
        <v>13581.0</v>
      </c>
      <c r="E283" s="2">
        <v>12104.0</v>
      </c>
      <c r="F283" s="1" t="s">
        <v>329</v>
      </c>
    </row>
    <row r="284">
      <c r="A284" s="1" t="s">
        <v>305</v>
      </c>
      <c r="B284" s="2">
        <v>48933.0</v>
      </c>
      <c r="C284" s="2">
        <v>13948.0</v>
      </c>
      <c r="D284" s="2">
        <v>48933.0</v>
      </c>
      <c r="E284" s="2">
        <v>13948.0</v>
      </c>
      <c r="F284" s="1" t="s">
        <v>329</v>
      </c>
    </row>
    <row r="285">
      <c r="A285" s="1" t="s">
        <v>306</v>
      </c>
      <c r="B285" s="2">
        <v>224908.0</v>
      </c>
      <c r="C285" s="2">
        <v>21159.0</v>
      </c>
      <c r="D285" s="2">
        <v>224908.0</v>
      </c>
      <c r="E285" s="2">
        <v>21159.0</v>
      </c>
      <c r="F285" s="1" t="s">
        <v>329</v>
      </c>
    </row>
    <row r="286">
      <c r="A286" s="1" t="s">
        <v>307</v>
      </c>
      <c r="B286" s="2">
        <v>95404.0</v>
      </c>
      <c r="C286" s="2">
        <v>27458.0</v>
      </c>
      <c r="D286" s="2">
        <v>95404.0</v>
      </c>
      <c r="E286" s="2">
        <v>27183.0</v>
      </c>
      <c r="F286" s="1" t="s">
        <v>329</v>
      </c>
    </row>
    <row r="287">
      <c r="A287" s="1" t="s">
        <v>308</v>
      </c>
      <c r="B287" s="2">
        <v>198310.0</v>
      </c>
      <c r="C287" s="2">
        <v>21359.0</v>
      </c>
      <c r="D287" s="2">
        <v>198310.0</v>
      </c>
      <c r="E287" s="2">
        <v>21359.0</v>
      </c>
      <c r="F287" s="1" t="s">
        <v>329</v>
      </c>
    </row>
    <row r="288">
      <c r="A288" s="1" t="s">
        <v>309</v>
      </c>
      <c r="B288" s="2">
        <v>261100.0</v>
      </c>
      <c r="C288" s="2">
        <v>23179.0</v>
      </c>
      <c r="D288" s="2">
        <v>261100.0</v>
      </c>
      <c r="E288" s="2">
        <v>23179.0</v>
      </c>
      <c r="F288" s="1" t="s">
        <v>329</v>
      </c>
    </row>
    <row r="289">
      <c r="A289" s="1" t="s">
        <v>310</v>
      </c>
      <c r="B289" s="2">
        <v>193776.0</v>
      </c>
      <c r="C289" s="2">
        <v>22812.0</v>
      </c>
      <c r="D289" s="2">
        <v>193776.0</v>
      </c>
      <c r="E289" s="2">
        <v>22812.0</v>
      </c>
      <c r="F289" s="1" t="s">
        <v>329</v>
      </c>
    </row>
    <row r="290">
      <c r="A290" s="1" t="s">
        <v>311</v>
      </c>
      <c r="B290" s="2">
        <v>223176.0</v>
      </c>
      <c r="C290" s="2">
        <v>39617.0</v>
      </c>
      <c r="D290" s="2">
        <v>223176.0</v>
      </c>
      <c r="E290" s="2">
        <v>39220.0</v>
      </c>
      <c r="F290" s="1" t="s">
        <v>329</v>
      </c>
    </row>
    <row r="291">
      <c r="A291" s="1" t="s">
        <v>312</v>
      </c>
      <c r="B291" s="2">
        <v>102528.0</v>
      </c>
      <c r="C291" s="2">
        <v>12918.0</v>
      </c>
      <c r="D291" s="2">
        <v>102528.0</v>
      </c>
      <c r="E291" s="2">
        <v>12918.0</v>
      </c>
      <c r="F291" s="1" t="s">
        <v>329</v>
      </c>
    </row>
    <row r="292">
      <c r="A292" s="1" t="s">
        <v>313</v>
      </c>
      <c r="B292" s="2">
        <v>141525.0</v>
      </c>
      <c r="C292" s="2">
        <v>12129.0</v>
      </c>
      <c r="D292" s="2">
        <v>148601.0</v>
      </c>
      <c r="E292" s="2">
        <v>12129.0</v>
      </c>
      <c r="F292" s="1" t="s">
        <v>330</v>
      </c>
      <c r="G292" s="1" t="s">
        <v>333</v>
      </c>
    </row>
    <row r="293">
      <c r="A293" s="1" t="s">
        <v>314</v>
      </c>
      <c r="B293" s="2">
        <v>94574.0</v>
      </c>
      <c r="C293" s="2">
        <v>28402.0</v>
      </c>
      <c r="D293" s="2">
        <v>94574.0</v>
      </c>
      <c r="E293" s="2">
        <v>28402.0</v>
      </c>
      <c r="F293" s="1" t="s">
        <v>329</v>
      </c>
    </row>
    <row r="294">
      <c r="A294" s="1" t="s">
        <v>315</v>
      </c>
      <c r="B294" s="2">
        <v>73572.0</v>
      </c>
      <c r="C294" s="2">
        <v>10115.0</v>
      </c>
      <c r="D294" s="2">
        <v>66214.0</v>
      </c>
      <c r="E294" s="2">
        <v>5057.0</v>
      </c>
      <c r="F294" s="1" t="s">
        <v>330</v>
      </c>
      <c r="G294" s="1" t="s">
        <v>335</v>
      </c>
    </row>
    <row r="295">
      <c r="A295" s="1" t="s">
        <v>316</v>
      </c>
      <c r="B295" s="2">
        <v>81747.0</v>
      </c>
      <c r="C295" s="2">
        <v>6922.0</v>
      </c>
      <c r="D295" s="2">
        <v>80112.0</v>
      </c>
      <c r="E295" s="2">
        <v>6922.0</v>
      </c>
      <c r="F295" s="1" t="s">
        <v>329</v>
      </c>
    </row>
    <row r="296">
      <c r="A296" s="1" t="s">
        <v>317</v>
      </c>
      <c r="B296" s="2">
        <v>35186.0</v>
      </c>
      <c r="C296" s="2">
        <v>4732.0</v>
      </c>
      <c r="D296" s="2">
        <v>35186.0</v>
      </c>
      <c r="E296" s="2">
        <v>4732.0</v>
      </c>
      <c r="F296" s="1" t="s">
        <v>329</v>
      </c>
    </row>
    <row r="297">
      <c r="A297" s="1" t="s">
        <v>318</v>
      </c>
      <c r="B297" s="2">
        <v>303872.0</v>
      </c>
      <c r="C297" s="2">
        <v>31699.0</v>
      </c>
      <c r="D297" s="2">
        <v>303872.0</v>
      </c>
      <c r="E297" s="2">
        <v>31699.0</v>
      </c>
      <c r="F297" s="1" t="s">
        <v>329</v>
      </c>
    </row>
    <row r="298">
      <c r="A298" s="1" t="s">
        <v>319</v>
      </c>
      <c r="B298" s="2">
        <v>71726.0</v>
      </c>
      <c r="C298" s="2">
        <v>15132.0</v>
      </c>
      <c r="D298" s="2">
        <v>71726.0</v>
      </c>
      <c r="E298" s="2">
        <v>15132.0</v>
      </c>
      <c r="F298" s="1" t="s">
        <v>329</v>
      </c>
    </row>
    <row r="299">
      <c r="A299" s="1" t="s">
        <v>320</v>
      </c>
      <c r="B299" s="2">
        <v>444683.0</v>
      </c>
      <c r="C299" s="2">
        <v>31968.0</v>
      </c>
      <c r="D299" s="2">
        <v>444683.0</v>
      </c>
      <c r="E299" s="2">
        <v>31968.0</v>
      </c>
      <c r="F299" s="1" t="s">
        <v>329</v>
      </c>
    </row>
    <row r="300">
      <c r="A300" s="1" t="s">
        <v>321</v>
      </c>
      <c r="B300" s="2">
        <v>136961.0</v>
      </c>
      <c r="C300" s="2">
        <v>15465.0</v>
      </c>
      <c r="D300" s="2">
        <v>136961.0</v>
      </c>
      <c r="E300" s="2">
        <v>15465.0</v>
      </c>
      <c r="F300" s="1" t="s">
        <v>329</v>
      </c>
    </row>
    <row r="301">
      <c r="A301" s="1" t="s">
        <v>322</v>
      </c>
      <c r="B301" s="2">
        <v>396933.0</v>
      </c>
      <c r="C301" s="2">
        <v>40369.0</v>
      </c>
      <c r="D301" s="2">
        <v>396933.0</v>
      </c>
      <c r="E301" s="2">
        <v>40369.0</v>
      </c>
      <c r="F301" s="1" t="s">
        <v>329</v>
      </c>
    </row>
    <row r="302">
      <c r="B302" s="6"/>
      <c r="C302" s="6"/>
      <c r="D302" s="6"/>
      <c r="E302" s="6"/>
    </row>
    <row r="303">
      <c r="B303" s="6"/>
      <c r="C303" s="6"/>
      <c r="D303" s="6"/>
      <c r="E303" s="6"/>
    </row>
    <row r="304">
      <c r="B304" s="6"/>
      <c r="C304" s="6"/>
      <c r="D304" s="6"/>
      <c r="E304" s="6"/>
    </row>
    <row r="305">
      <c r="B305" s="6"/>
      <c r="C305" s="6"/>
      <c r="D305" s="6"/>
      <c r="E305" s="6"/>
    </row>
    <row r="306">
      <c r="B306" s="6"/>
      <c r="C306" s="6"/>
      <c r="D306" s="6"/>
      <c r="E306" s="6"/>
    </row>
    <row r="307">
      <c r="B307" s="6"/>
      <c r="C307" s="6"/>
      <c r="D307" s="6"/>
      <c r="E307" s="6"/>
    </row>
    <row r="308">
      <c r="B308" s="6"/>
      <c r="C308" s="6"/>
      <c r="D308" s="6"/>
      <c r="E308" s="6"/>
    </row>
    <row r="309">
      <c r="B309" s="6"/>
      <c r="C309" s="6"/>
      <c r="D309" s="6"/>
      <c r="E309" s="6"/>
    </row>
    <row r="310">
      <c r="B310" s="6"/>
      <c r="C310" s="6"/>
      <c r="D310" s="6"/>
      <c r="E310" s="6"/>
    </row>
    <row r="311">
      <c r="B311" s="6"/>
      <c r="C311" s="6"/>
      <c r="D311" s="6"/>
      <c r="E311" s="6"/>
    </row>
    <row r="312">
      <c r="B312" s="6"/>
      <c r="C312" s="6"/>
      <c r="D312" s="6"/>
      <c r="E312" s="6"/>
    </row>
    <row r="313">
      <c r="B313" s="6"/>
      <c r="C313" s="6"/>
      <c r="D313" s="6"/>
      <c r="E313" s="6"/>
    </row>
    <row r="314">
      <c r="B314" s="6"/>
      <c r="C314" s="6"/>
      <c r="D314" s="6"/>
      <c r="E314" s="6"/>
    </row>
    <row r="315">
      <c r="B315" s="6"/>
      <c r="C315" s="6"/>
      <c r="D315" s="6"/>
      <c r="E315" s="6"/>
    </row>
    <row r="316">
      <c r="B316" s="6"/>
      <c r="C316" s="6"/>
      <c r="D316" s="6"/>
      <c r="E316" s="6"/>
    </row>
    <row r="317">
      <c r="B317" s="6"/>
      <c r="C317" s="6"/>
      <c r="D317" s="6"/>
      <c r="E317" s="6"/>
    </row>
    <row r="318">
      <c r="B318" s="6"/>
      <c r="C318" s="6"/>
      <c r="D318" s="6"/>
      <c r="E318" s="6"/>
    </row>
    <row r="319">
      <c r="B319" s="6"/>
      <c r="C319" s="6"/>
      <c r="D319" s="6"/>
      <c r="E319" s="6"/>
    </row>
    <row r="320">
      <c r="B320" s="6"/>
      <c r="C320" s="6"/>
      <c r="D320" s="6"/>
      <c r="E320" s="6"/>
    </row>
    <row r="321">
      <c r="B321" s="6"/>
      <c r="C321" s="6"/>
      <c r="D321" s="6"/>
      <c r="E321" s="6"/>
    </row>
    <row r="322">
      <c r="B322" s="6"/>
      <c r="C322" s="6"/>
      <c r="D322" s="6"/>
      <c r="E322" s="6"/>
    </row>
    <row r="323">
      <c r="B323" s="6"/>
      <c r="C323" s="6"/>
      <c r="D323" s="6"/>
      <c r="E323" s="6"/>
    </row>
    <row r="324">
      <c r="B324" s="6"/>
      <c r="C324" s="6"/>
      <c r="D324" s="6"/>
      <c r="E324" s="6"/>
    </row>
    <row r="325">
      <c r="B325" s="6"/>
      <c r="C325" s="6"/>
      <c r="D325" s="6"/>
      <c r="E325" s="6"/>
    </row>
    <row r="326">
      <c r="B326" s="6"/>
      <c r="C326" s="6"/>
      <c r="D326" s="6"/>
      <c r="E326" s="6"/>
    </row>
    <row r="327">
      <c r="B327" s="6"/>
      <c r="C327" s="6"/>
      <c r="D327" s="6"/>
      <c r="E327" s="6"/>
    </row>
    <row r="328">
      <c r="B328" s="6"/>
      <c r="C328" s="6"/>
      <c r="D328" s="6"/>
      <c r="E328" s="6"/>
    </row>
    <row r="329">
      <c r="B329" s="6"/>
      <c r="C329" s="6"/>
      <c r="D329" s="6"/>
      <c r="E329" s="6"/>
    </row>
    <row r="330">
      <c r="B330" s="6"/>
      <c r="C330" s="6"/>
      <c r="D330" s="6"/>
      <c r="E330" s="6"/>
    </row>
    <row r="331">
      <c r="B331" s="6"/>
      <c r="C331" s="6"/>
      <c r="D331" s="6"/>
      <c r="E331" s="6"/>
    </row>
    <row r="332">
      <c r="B332" s="6"/>
      <c r="C332" s="6"/>
      <c r="D332" s="6"/>
      <c r="E332" s="6"/>
    </row>
    <row r="333">
      <c r="B333" s="6"/>
      <c r="C333" s="6"/>
      <c r="D333" s="6"/>
      <c r="E333" s="6"/>
    </row>
    <row r="334">
      <c r="B334" s="6"/>
      <c r="C334" s="6"/>
      <c r="D334" s="6"/>
      <c r="E334" s="6"/>
    </row>
    <row r="335">
      <c r="B335" s="6"/>
      <c r="C335" s="6"/>
      <c r="D335" s="6"/>
      <c r="E335" s="6"/>
    </row>
    <row r="336">
      <c r="B336" s="6"/>
      <c r="C336" s="6"/>
      <c r="D336" s="6"/>
      <c r="E336" s="6"/>
    </row>
    <row r="337">
      <c r="B337" s="6"/>
      <c r="C337" s="6"/>
      <c r="D337" s="6"/>
      <c r="E337" s="6"/>
    </row>
    <row r="338">
      <c r="B338" s="6"/>
      <c r="C338" s="6"/>
      <c r="D338" s="6"/>
      <c r="E338" s="6"/>
    </row>
    <row r="339">
      <c r="B339" s="6"/>
      <c r="C339" s="6"/>
      <c r="D339" s="6"/>
      <c r="E339" s="6"/>
    </row>
    <row r="340">
      <c r="B340" s="6"/>
      <c r="C340" s="6"/>
      <c r="D340" s="6"/>
      <c r="E340" s="6"/>
    </row>
    <row r="341">
      <c r="B341" s="6"/>
      <c r="C341" s="6"/>
      <c r="D341" s="6"/>
      <c r="E341" s="6"/>
    </row>
    <row r="342">
      <c r="B342" s="6"/>
      <c r="C342" s="6"/>
      <c r="D342" s="6"/>
      <c r="E342" s="6"/>
    </row>
    <row r="343">
      <c r="B343" s="6"/>
      <c r="C343" s="6"/>
      <c r="D343" s="6"/>
      <c r="E343" s="6"/>
    </row>
    <row r="344">
      <c r="B344" s="6"/>
      <c r="C344" s="6"/>
      <c r="D344" s="6"/>
      <c r="E344" s="6"/>
    </row>
    <row r="345">
      <c r="B345" s="6"/>
      <c r="C345" s="6"/>
      <c r="D345" s="6"/>
      <c r="E345" s="6"/>
    </row>
    <row r="346">
      <c r="B346" s="6"/>
      <c r="C346" s="6"/>
      <c r="D346" s="6"/>
      <c r="E346" s="6"/>
    </row>
    <row r="347">
      <c r="B347" s="6"/>
      <c r="C347" s="6"/>
      <c r="D347" s="6"/>
      <c r="E347" s="6"/>
    </row>
    <row r="348">
      <c r="B348" s="6"/>
      <c r="C348" s="6"/>
      <c r="D348" s="6"/>
      <c r="E348" s="6"/>
    </row>
    <row r="349">
      <c r="B349" s="6"/>
      <c r="C349" s="6"/>
      <c r="D349" s="6"/>
      <c r="E349" s="6"/>
    </row>
    <row r="350">
      <c r="B350" s="6"/>
      <c r="C350" s="6"/>
      <c r="D350" s="6"/>
      <c r="E350" s="6"/>
    </row>
    <row r="351">
      <c r="B351" s="6"/>
      <c r="C351" s="6"/>
      <c r="D351" s="6"/>
      <c r="E351" s="6"/>
    </row>
    <row r="352">
      <c r="B352" s="6"/>
      <c r="C352" s="6"/>
      <c r="D352" s="6"/>
      <c r="E352" s="6"/>
    </row>
    <row r="353">
      <c r="B353" s="6"/>
      <c r="C353" s="6"/>
      <c r="D353" s="6"/>
      <c r="E353" s="6"/>
    </row>
    <row r="354">
      <c r="B354" s="6"/>
      <c r="C354" s="6"/>
      <c r="D354" s="6"/>
      <c r="E354" s="6"/>
    </row>
    <row r="355">
      <c r="B355" s="6"/>
      <c r="C355" s="6"/>
      <c r="D355" s="6"/>
      <c r="E355" s="6"/>
    </row>
    <row r="356">
      <c r="B356" s="6"/>
      <c r="C356" s="6"/>
      <c r="D356" s="6"/>
      <c r="E356" s="6"/>
    </row>
    <row r="357">
      <c r="B357" s="6"/>
      <c r="C357" s="6"/>
      <c r="D357" s="6"/>
      <c r="E357" s="6"/>
    </row>
    <row r="358">
      <c r="B358" s="6"/>
      <c r="C358" s="6"/>
      <c r="D358" s="6"/>
      <c r="E358" s="6"/>
    </row>
    <row r="359">
      <c r="B359" s="6"/>
      <c r="C359" s="6"/>
      <c r="D359" s="6"/>
      <c r="E359" s="6"/>
    </row>
    <row r="360">
      <c r="B360" s="6"/>
      <c r="C360" s="6"/>
      <c r="D360" s="6"/>
      <c r="E360" s="6"/>
    </row>
    <row r="361">
      <c r="B361" s="6"/>
      <c r="C361" s="6"/>
      <c r="D361" s="6"/>
      <c r="E361" s="6"/>
    </row>
    <row r="362">
      <c r="B362" s="6"/>
      <c r="C362" s="6"/>
      <c r="D362" s="6"/>
      <c r="E362" s="6"/>
    </row>
    <row r="363">
      <c r="B363" s="6"/>
      <c r="C363" s="6"/>
      <c r="D363" s="6"/>
      <c r="E363" s="6"/>
    </row>
    <row r="364">
      <c r="B364" s="6"/>
      <c r="C364" s="6"/>
      <c r="D364" s="6"/>
      <c r="E364" s="6"/>
    </row>
    <row r="365">
      <c r="B365" s="6"/>
      <c r="C365" s="6"/>
      <c r="D365" s="6"/>
      <c r="E365" s="6"/>
    </row>
    <row r="366">
      <c r="B366" s="6"/>
      <c r="C366" s="6"/>
      <c r="D366" s="6"/>
      <c r="E366" s="6"/>
    </row>
    <row r="367">
      <c r="B367" s="6"/>
      <c r="C367" s="6"/>
      <c r="D367" s="6"/>
      <c r="E367" s="6"/>
    </row>
    <row r="368">
      <c r="B368" s="6"/>
      <c r="C368" s="6"/>
      <c r="D368" s="6"/>
      <c r="E368" s="6"/>
    </row>
    <row r="369">
      <c r="B369" s="6"/>
      <c r="C369" s="6"/>
      <c r="D369" s="6"/>
      <c r="E369" s="6"/>
    </row>
    <row r="370">
      <c r="B370" s="6"/>
      <c r="C370" s="6"/>
      <c r="D370" s="6"/>
      <c r="E370" s="6"/>
    </row>
    <row r="371">
      <c r="B371" s="6"/>
      <c r="C371" s="6"/>
      <c r="D371" s="6"/>
      <c r="E371" s="6"/>
    </row>
    <row r="372">
      <c r="B372" s="6"/>
      <c r="C372" s="6"/>
      <c r="D372" s="6"/>
      <c r="E372" s="6"/>
    </row>
    <row r="373">
      <c r="B373" s="6"/>
      <c r="C373" s="6"/>
      <c r="D373" s="6"/>
      <c r="E373" s="6"/>
    </row>
    <row r="374">
      <c r="B374" s="6"/>
      <c r="C374" s="6"/>
      <c r="D374" s="6"/>
      <c r="E374" s="6"/>
    </row>
    <row r="375">
      <c r="B375" s="6"/>
      <c r="C375" s="6"/>
      <c r="D375" s="6"/>
      <c r="E375" s="6"/>
    </row>
    <row r="376">
      <c r="B376" s="6"/>
      <c r="C376" s="6"/>
      <c r="D376" s="6"/>
      <c r="E376" s="6"/>
    </row>
    <row r="377">
      <c r="B377" s="6"/>
      <c r="C377" s="6"/>
      <c r="D377" s="6"/>
      <c r="E377" s="6"/>
    </row>
    <row r="378">
      <c r="B378" s="6"/>
      <c r="C378" s="6"/>
      <c r="D378" s="6"/>
      <c r="E378" s="6"/>
    </row>
    <row r="379">
      <c r="B379" s="6"/>
      <c r="C379" s="6"/>
      <c r="D379" s="6"/>
      <c r="E379" s="6"/>
    </row>
    <row r="380">
      <c r="B380" s="6"/>
      <c r="C380" s="6"/>
      <c r="D380" s="6"/>
      <c r="E380" s="6"/>
    </row>
    <row r="381">
      <c r="B381" s="6"/>
      <c r="C381" s="6"/>
      <c r="D381" s="6"/>
      <c r="E381" s="6"/>
    </row>
    <row r="382">
      <c r="B382" s="6"/>
      <c r="C382" s="6"/>
      <c r="D382" s="6"/>
      <c r="E382" s="6"/>
    </row>
    <row r="383">
      <c r="B383" s="6"/>
      <c r="C383" s="6"/>
      <c r="D383" s="6"/>
      <c r="E383" s="6"/>
    </row>
    <row r="384">
      <c r="B384" s="6"/>
      <c r="C384" s="6"/>
      <c r="D384" s="6"/>
      <c r="E384" s="6"/>
    </row>
    <row r="385">
      <c r="B385" s="6"/>
      <c r="C385" s="6"/>
      <c r="D385" s="6"/>
      <c r="E385" s="6"/>
    </row>
    <row r="386">
      <c r="B386" s="6"/>
      <c r="C386" s="6"/>
      <c r="D386" s="6"/>
      <c r="E386" s="6"/>
    </row>
    <row r="387">
      <c r="B387" s="6"/>
      <c r="C387" s="6"/>
      <c r="D387" s="6"/>
      <c r="E387" s="6"/>
    </row>
    <row r="388">
      <c r="B388" s="6"/>
      <c r="C388" s="6"/>
      <c r="D388" s="6"/>
      <c r="E388" s="6"/>
    </row>
    <row r="389">
      <c r="B389" s="6"/>
      <c r="C389" s="6"/>
      <c r="D389" s="6"/>
      <c r="E389" s="6"/>
    </row>
    <row r="390">
      <c r="B390" s="6"/>
      <c r="C390" s="6"/>
      <c r="D390" s="6"/>
      <c r="E390" s="6"/>
    </row>
    <row r="391">
      <c r="B391" s="6"/>
      <c r="C391" s="6"/>
      <c r="D391" s="6"/>
      <c r="E391" s="6"/>
    </row>
    <row r="392">
      <c r="B392" s="6"/>
      <c r="C392" s="6"/>
      <c r="D392" s="6"/>
      <c r="E392" s="6"/>
    </row>
    <row r="393">
      <c r="B393" s="6"/>
      <c r="C393" s="6"/>
      <c r="D393" s="6"/>
      <c r="E393" s="6"/>
    </row>
    <row r="394">
      <c r="B394" s="6"/>
      <c r="C394" s="6"/>
      <c r="D394" s="6"/>
      <c r="E394" s="6"/>
    </row>
    <row r="395">
      <c r="B395" s="6"/>
      <c r="C395" s="6"/>
      <c r="D395" s="6"/>
      <c r="E395" s="6"/>
    </row>
    <row r="396">
      <c r="B396" s="6"/>
      <c r="C396" s="6"/>
      <c r="D396" s="6"/>
      <c r="E396" s="6"/>
    </row>
    <row r="397">
      <c r="B397" s="6"/>
      <c r="C397" s="6"/>
      <c r="D397" s="6"/>
      <c r="E397" s="6"/>
    </row>
    <row r="398">
      <c r="B398" s="6"/>
      <c r="C398" s="6"/>
      <c r="D398" s="6"/>
      <c r="E398" s="6"/>
    </row>
    <row r="399">
      <c r="B399" s="6"/>
      <c r="C399" s="6"/>
      <c r="D399" s="6"/>
      <c r="E399" s="6"/>
    </row>
    <row r="400">
      <c r="B400" s="6"/>
      <c r="C400" s="6"/>
      <c r="D400" s="6"/>
      <c r="E400" s="6"/>
    </row>
    <row r="401">
      <c r="B401" s="6"/>
      <c r="C401" s="6"/>
      <c r="D401" s="6"/>
      <c r="E401" s="6"/>
    </row>
    <row r="402">
      <c r="B402" s="6"/>
      <c r="C402" s="6"/>
      <c r="D402" s="6"/>
      <c r="E402" s="6"/>
    </row>
    <row r="403">
      <c r="B403" s="6"/>
      <c r="C403" s="6"/>
      <c r="D403" s="6"/>
      <c r="E403" s="6"/>
    </row>
    <row r="404">
      <c r="B404" s="6"/>
      <c r="C404" s="6"/>
      <c r="D404" s="6"/>
      <c r="E404" s="6"/>
    </row>
    <row r="405">
      <c r="B405" s="6"/>
      <c r="C405" s="6"/>
      <c r="D405" s="6"/>
      <c r="E405" s="6"/>
    </row>
    <row r="406">
      <c r="B406" s="6"/>
      <c r="C406" s="6"/>
      <c r="D406" s="6"/>
      <c r="E406" s="6"/>
    </row>
    <row r="407">
      <c r="B407" s="6"/>
      <c r="C407" s="6"/>
      <c r="D407" s="6"/>
      <c r="E407" s="6"/>
    </row>
    <row r="408">
      <c r="B408" s="6"/>
      <c r="C408" s="6"/>
      <c r="D408" s="6"/>
      <c r="E408" s="6"/>
    </row>
    <row r="409">
      <c r="B409" s="6"/>
      <c r="C409" s="6"/>
      <c r="D409" s="6"/>
      <c r="E409" s="6"/>
    </row>
    <row r="410">
      <c r="B410" s="6"/>
      <c r="C410" s="6"/>
      <c r="D410" s="6"/>
      <c r="E410" s="6"/>
    </row>
    <row r="411">
      <c r="B411" s="6"/>
      <c r="C411" s="6"/>
      <c r="D411" s="6"/>
      <c r="E411" s="6"/>
    </row>
    <row r="412">
      <c r="B412" s="6"/>
      <c r="C412" s="6"/>
      <c r="D412" s="6"/>
      <c r="E412" s="6"/>
    </row>
    <row r="413">
      <c r="B413" s="6"/>
      <c r="C413" s="6"/>
      <c r="D413" s="6"/>
      <c r="E413" s="6"/>
    </row>
    <row r="414">
      <c r="B414" s="6"/>
      <c r="C414" s="6"/>
      <c r="D414" s="6"/>
      <c r="E414" s="6"/>
    </row>
    <row r="415">
      <c r="B415" s="6"/>
      <c r="C415" s="6"/>
      <c r="D415" s="6"/>
      <c r="E415" s="6"/>
    </row>
    <row r="416">
      <c r="B416" s="6"/>
      <c r="C416" s="6"/>
      <c r="D416" s="6"/>
      <c r="E416" s="6"/>
    </row>
    <row r="417">
      <c r="B417" s="6"/>
      <c r="C417" s="6"/>
      <c r="D417" s="6"/>
      <c r="E417" s="6"/>
    </row>
    <row r="418">
      <c r="B418" s="6"/>
      <c r="C418" s="6"/>
      <c r="D418" s="6"/>
      <c r="E418" s="6"/>
    </row>
    <row r="419">
      <c r="B419" s="6"/>
      <c r="C419" s="6"/>
      <c r="D419" s="6"/>
      <c r="E419" s="6"/>
    </row>
    <row r="420">
      <c r="B420" s="6"/>
      <c r="C420" s="6"/>
      <c r="D420" s="6"/>
      <c r="E420" s="6"/>
    </row>
    <row r="421">
      <c r="B421" s="6"/>
      <c r="C421" s="6"/>
      <c r="D421" s="6"/>
      <c r="E421" s="6"/>
    </row>
    <row r="422">
      <c r="B422" s="6"/>
      <c r="C422" s="6"/>
      <c r="D422" s="6"/>
      <c r="E422" s="6"/>
    </row>
    <row r="423">
      <c r="B423" s="6"/>
      <c r="C423" s="6"/>
      <c r="D423" s="6"/>
      <c r="E423" s="6"/>
    </row>
    <row r="424">
      <c r="B424" s="6"/>
      <c r="C424" s="6"/>
      <c r="D424" s="6"/>
      <c r="E424" s="6"/>
    </row>
    <row r="425">
      <c r="B425" s="6"/>
      <c r="C425" s="6"/>
      <c r="D425" s="6"/>
      <c r="E425" s="6"/>
    </row>
    <row r="426">
      <c r="B426" s="6"/>
      <c r="C426" s="6"/>
      <c r="D426" s="6"/>
      <c r="E426" s="6"/>
    </row>
    <row r="427">
      <c r="B427" s="6"/>
      <c r="C427" s="6"/>
      <c r="D427" s="6"/>
      <c r="E427" s="6"/>
    </row>
    <row r="428">
      <c r="B428" s="6"/>
      <c r="C428" s="6"/>
      <c r="D428" s="6"/>
      <c r="E428" s="6"/>
    </row>
    <row r="429">
      <c r="B429" s="6"/>
      <c r="C429" s="6"/>
      <c r="D429" s="6"/>
      <c r="E429" s="6"/>
    </row>
    <row r="430">
      <c r="B430" s="6"/>
      <c r="C430" s="6"/>
      <c r="D430" s="6"/>
      <c r="E430" s="6"/>
    </row>
    <row r="431">
      <c r="B431" s="6"/>
      <c r="C431" s="6"/>
      <c r="D431" s="6"/>
      <c r="E431" s="6"/>
    </row>
    <row r="432">
      <c r="B432" s="6"/>
      <c r="C432" s="6"/>
      <c r="D432" s="6"/>
      <c r="E432" s="6"/>
    </row>
    <row r="433">
      <c r="B433" s="6"/>
      <c r="C433" s="6"/>
      <c r="D433" s="6"/>
      <c r="E433" s="6"/>
    </row>
    <row r="434">
      <c r="B434" s="6"/>
      <c r="C434" s="6"/>
      <c r="D434" s="6"/>
      <c r="E434" s="6"/>
    </row>
    <row r="435">
      <c r="B435" s="6"/>
      <c r="C435" s="6"/>
      <c r="D435" s="6"/>
      <c r="E435" s="6"/>
    </row>
    <row r="436">
      <c r="B436" s="6"/>
      <c r="C436" s="6"/>
      <c r="D436" s="6"/>
      <c r="E436" s="6"/>
    </row>
    <row r="437">
      <c r="B437" s="6"/>
      <c r="C437" s="6"/>
      <c r="D437" s="6"/>
      <c r="E437" s="6"/>
    </row>
    <row r="438">
      <c r="B438" s="6"/>
      <c r="C438" s="6"/>
      <c r="D438" s="6"/>
      <c r="E438" s="6"/>
    </row>
    <row r="439">
      <c r="B439" s="6"/>
      <c r="C439" s="6"/>
      <c r="D439" s="6"/>
      <c r="E439" s="6"/>
    </row>
    <row r="440">
      <c r="B440" s="6"/>
      <c r="C440" s="6"/>
      <c r="D440" s="6"/>
      <c r="E440" s="6"/>
    </row>
    <row r="441">
      <c r="B441" s="6"/>
      <c r="C441" s="6"/>
      <c r="D441" s="6"/>
      <c r="E441" s="6"/>
    </row>
    <row r="442">
      <c r="B442" s="6"/>
      <c r="C442" s="6"/>
      <c r="D442" s="6"/>
      <c r="E442" s="6"/>
    </row>
    <row r="443">
      <c r="B443" s="6"/>
      <c r="C443" s="6"/>
      <c r="D443" s="6"/>
      <c r="E443" s="6"/>
    </row>
    <row r="444">
      <c r="B444" s="6"/>
      <c r="C444" s="6"/>
      <c r="D444" s="6"/>
      <c r="E444" s="6"/>
    </row>
    <row r="445">
      <c r="B445" s="6"/>
      <c r="C445" s="6"/>
      <c r="D445" s="6"/>
      <c r="E445" s="6"/>
    </row>
    <row r="446">
      <c r="B446" s="6"/>
      <c r="C446" s="6"/>
      <c r="D446" s="6"/>
      <c r="E446" s="6"/>
    </row>
    <row r="447">
      <c r="B447" s="6"/>
      <c r="C447" s="6"/>
      <c r="D447" s="6"/>
      <c r="E447" s="6"/>
    </row>
    <row r="448">
      <c r="B448" s="6"/>
      <c r="C448" s="6"/>
      <c r="D448" s="6"/>
      <c r="E448" s="6"/>
    </row>
    <row r="449">
      <c r="B449" s="6"/>
      <c r="C449" s="6"/>
      <c r="D449" s="6"/>
      <c r="E449" s="6"/>
    </row>
    <row r="450">
      <c r="B450" s="6"/>
      <c r="C450" s="6"/>
      <c r="D450" s="6"/>
      <c r="E450" s="6"/>
    </row>
    <row r="451">
      <c r="B451" s="6"/>
      <c r="C451" s="6"/>
      <c r="D451" s="6"/>
      <c r="E451" s="6"/>
    </row>
    <row r="452">
      <c r="B452" s="6"/>
      <c r="C452" s="6"/>
      <c r="D452" s="6"/>
      <c r="E452" s="6"/>
    </row>
    <row r="453">
      <c r="B453" s="6"/>
      <c r="C453" s="6"/>
      <c r="D453" s="6"/>
      <c r="E453" s="6"/>
    </row>
    <row r="454">
      <c r="B454" s="6"/>
      <c r="C454" s="6"/>
      <c r="D454" s="6"/>
      <c r="E454" s="6"/>
    </row>
    <row r="455">
      <c r="B455" s="6"/>
      <c r="C455" s="6"/>
      <c r="D455" s="6"/>
      <c r="E455" s="6"/>
    </row>
    <row r="456">
      <c r="B456" s="6"/>
      <c r="C456" s="6"/>
      <c r="D456" s="6"/>
      <c r="E456" s="6"/>
    </row>
    <row r="457">
      <c r="B457" s="6"/>
      <c r="C457" s="6"/>
      <c r="D457" s="6"/>
      <c r="E457" s="6"/>
    </row>
    <row r="458">
      <c r="B458" s="6"/>
      <c r="C458" s="6"/>
      <c r="D458" s="6"/>
      <c r="E458" s="6"/>
    </row>
    <row r="459">
      <c r="B459" s="6"/>
      <c r="C459" s="6"/>
      <c r="D459" s="6"/>
      <c r="E459" s="6"/>
    </row>
    <row r="460">
      <c r="B460" s="6"/>
      <c r="C460" s="6"/>
      <c r="D460" s="6"/>
      <c r="E460" s="6"/>
    </row>
    <row r="461">
      <c r="B461" s="6"/>
      <c r="C461" s="6"/>
      <c r="D461" s="6"/>
      <c r="E461" s="6"/>
    </row>
    <row r="462">
      <c r="B462" s="6"/>
      <c r="C462" s="6"/>
      <c r="D462" s="6"/>
      <c r="E462" s="6"/>
    </row>
    <row r="463">
      <c r="B463" s="6"/>
      <c r="C463" s="6"/>
      <c r="D463" s="6"/>
      <c r="E463" s="6"/>
    </row>
    <row r="464">
      <c r="B464" s="6"/>
      <c r="C464" s="6"/>
      <c r="D464" s="6"/>
      <c r="E464" s="6"/>
    </row>
    <row r="465">
      <c r="B465" s="6"/>
      <c r="C465" s="6"/>
      <c r="D465" s="6"/>
      <c r="E465" s="6"/>
    </row>
    <row r="466">
      <c r="B466" s="6"/>
      <c r="C466" s="6"/>
      <c r="D466" s="6"/>
      <c r="E466" s="6"/>
    </row>
    <row r="467">
      <c r="B467" s="6"/>
      <c r="C467" s="6"/>
      <c r="D467" s="6"/>
      <c r="E467" s="6"/>
    </row>
    <row r="468">
      <c r="B468" s="6"/>
      <c r="C468" s="6"/>
      <c r="D468" s="6"/>
      <c r="E468" s="6"/>
    </row>
    <row r="469">
      <c r="B469" s="6"/>
      <c r="C469" s="6"/>
      <c r="D469" s="6"/>
      <c r="E469" s="6"/>
    </row>
    <row r="470">
      <c r="B470" s="6"/>
      <c r="C470" s="6"/>
      <c r="D470" s="6"/>
      <c r="E470" s="6"/>
    </row>
    <row r="471">
      <c r="B471" s="6"/>
      <c r="C471" s="6"/>
      <c r="D471" s="6"/>
      <c r="E471" s="6"/>
    </row>
    <row r="472">
      <c r="B472" s="6"/>
      <c r="C472" s="6"/>
      <c r="D472" s="6"/>
      <c r="E472" s="6"/>
    </row>
    <row r="473">
      <c r="B473" s="6"/>
      <c r="C473" s="6"/>
      <c r="D473" s="6"/>
      <c r="E473" s="6"/>
    </row>
    <row r="474">
      <c r="B474" s="6"/>
      <c r="C474" s="6"/>
      <c r="D474" s="6"/>
      <c r="E474" s="6"/>
    </row>
    <row r="475">
      <c r="B475" s="6"/>
      <c r="C475" s="6"/>
      <c r="D475" s="6"/>
      <c r="E475" s="6"/>
    </row>
    <row r="476">
      <c r="B476" s="6"/>
      <c r="C476" s="6"/>
      <c r="D476" s="6"/>
      <c r="E476" s="6"/>
    </row>
    <row r="477">
      <c r="B477" s="6"/>
      <c r="C477" s="6"/>
      <c r="D477" s="6"/>
      <c r="E477" s="6"/>
    </row>
    <row r="478">
      <c r="B478" s="6"/>
      <c r="C478" s="6"/>
      <c r="D478" s="6"/>
      <c r="E478" s="6"/>
    </row>
    <row r="479">
      <c r="B479" s="6"/>
      <c r="C479" s="6"/>
      <c r="D479" s="6"/>
      <c r="E479" s="6"/>
    </row>
    <row r="480">
      <c r="B480" s="6"/>
      <c r="C480" s="6"/>
      <c r="D480" s="6"/>
      <c r="E480" s="6"/>
    </row>
    <row r="481">
      <c r="B481" s="6"/>
      <c r="C481" s="6"/>
      <c r="D481" s="6"/>
      <c r="E481" s="6"/>
    </row>
    <row r="482">
      <c r="B482" s="6"/>
      <c r="C482" s="6"/>
      <c r="D482" s="6"/>
      <c r="E482" s="6"/>
    </row>
    <row r="483">
      <c r="B483" s="6"/>
      <c r="C483" s="6"/>
      <c r="D483" s="6"/>
      <c r="E483" s="6"/>
    </row>
    <row r="484">
      <c r="B484" s="6"/>
      <c r="C484" s="6"/>
      <c r="D484" s="6"/>
      <c r="E484" s="6"/>
    </row>
    <row r="485">
      <c r="B485" s="6"/>
      <c r="C485" s="6"/>
      <c r="D485" s="6"/>
      <c r="E485" s="6"/>
    </row>
    <row r="486">
      <c r="B486" s="6"/>
      <c r="C486" s="6"/>
      <c r="D486" s="6"/>
      <c r="E486" s="6"/>
    </row>
    <row r="487">
      <c r="B487" s="6"/>
      <c r="C487" s="6"/>
      <c r="D487" s="6"/>
      <c r="E487" s="6"/>
    </row>
    <row r="488">
      <c r="B488" s="6"/>
      <c r="C488" s="6"/>
      <c r="D488" s="6"/>
      <c r="E488" s="6"/>
    </row>
    <row r="489">
      <c r="B489" s="6"/>
      <c r="C489" s="6"/>
      <c r="D489" s="6"/>
      <c r="E489" s="6"/>
    </row>
    <row r="490">
      <c r="B490" s="6"/>
      <c r="C490" s="6"/>
      <c r="D490" s="6"/>
      <c r="E490" s="6"/>
    </row>
    <row r="491">
      <c r="B491" s="6"/>
      <c r="C491" s="6"/>
      <c r="D491" s="6"/>
      <c r="E491" s="6"/>
    </row>
    <row r="492">
      <c r="B492" s="6"/>
      <c r="C492" s="6"/>
      <c r="D492" s="6"/>
      <c r="E492" s="6"/>
    </row>
    <row r="493">
      <c r="B493" s="6"/>
      <c r="C493" s="6"/>
      <c r="D493" s="6"/>
      <c r="E493" s="6"/>
    </row>
    <row r="494">
      <c r="B494" s="6"/>
      <c r="C494" s="6"/>
      <c r="D494" s="6"/>
      <c r="E494" s="6"/>
    </row>
    <row r="495">
      <c r="B495" s="6"/>
      <c r="C495" s="6"/>
      <c r="D495" s="6"/>
      <c r="E495" s="6"/>
    </row>
    <row r="496">
      <c r="B496" s="6"/>
      <c r="C496" s="6"/>
      <c r="D496" s="6"/>
      <c r="E496" s="6"/>
    </row>
    <row r="497">
      <c r="B497" s="6"/>
      <c r="C497" s="6"/>
      <c r="D497" s="6"/>
      <c r="E497" s="6"/>
    </row>
    <row r="498">
      <c r="B498" s="6"/>
      <c r="C498" s="6"/>
      <c r="D498" s="6"/>
      <c r="E498" s="6"/>
    </row>
    <row r="499">
      <c r="B499" s="6"/>
      <c r="C499" s="6"/>
      <c r="D499" s="6"/>
      <c r="E499" s="6"/>
    </row>
    <row r="500">
      <c r="B500" s="6"/>
      <c r="C500" s="6"/>
      <c r="D500" s="6"/>
      <c r="E500" s="6"/>
    </row>
    <row r="501">
      <c r="B501" s="6"/>
      <c r="C501" s="6"/>
      <c r="D501" s="6"/>
      <c r="E501" s="6"/>
    </row>
    <row r="502">
      <c r="B502" s="6"/>
      <c r="C502" s="6"/>
      <c r="D502" s="6"/>
      <c r="E502" s="6"/>
    </row>
    <row r="503">
      <c r="B503" s="6"/>
      <c r="C503" s="6"/>
      <c r="D503" s="6"/>
      <c r="E503" s="6"/>
    </row>
    <row r="504">
      <c r="B504" s="6"/>
      <c r="C504" s="6"/>
      <c r="D504" s="6"/>
      <c r="E504" s="6"/>
    </row>
    <row r="505">
      <c r="B505" s="6"/>
      <c r="C505" s="6"/>
      <c r="D505" s="6"/>
      <c r="E505" s="6"/>
    </row>
    <row r="506">
      <c r="B506" s="6"/>
      <c r="C506" s="6"/>
      <c r="D506" s="6"/>
      <c r="E506" s="6"/>
    </row>
    <row r="507">
      <c r="B507" s="6"/>
      <c r="C507" s="6"/>
      <c r="D507" s="6"/>
      <c r="E507" s="6"/>
    </row>
    <row r="508">
      <c r="B508" s="6"/>
      <c r="C508" s="6"/>
      <c r="D508" s="6"/>
      <c r="E508" s="6"/>
    </row>
    <row r="509">
      <c r="B509" s="6"/>
      <c r="C509" s="6"/>
      <c r="D509" s="6"/>
      <c r="E509" s="6"/>
    </row>
    <row r="510">
      <c r="B510" s="6"/>
      <c r="C510" s="6"/>
      <c r="D510" s="6"/>
      <c r="E510" s="6"/>
    </row>
    <row r="511">
      <c r="B511" s="6"/>
      <c r="C511" s="6"/>
      <c r="D511" s="6"/>
      <c r="E511" s="6"/>
    </row>
    <row r="512">
      <c r="B512" s="6"/>
      <c r="C512" s="6"/>
      <c r="D512" s="6"/>
      <c r="E512" s="6"/>
    </row>
    <row r="513">
      <c r="B513" s="6"/>
      <c r="C513" s="6"/>
      <c r="D513" s="6"/>
      <c r="E513" s="6"/>
    </row>
    <row r="514">
      <c r="B514" s="6"/>
      <c r="C514" s="6"/>
      <c r="D514" s="6"/>
      <c r="E514" s="6"/>
    </row>
    <row r="515">
      <c r="B515" s="6"/>
      <c r="C515" s="6"/>
      <c r="D515" s="6"/>
      <c r="E515" s="6"/>
    </row>
    <row r="516">
      <c r="B516" s="6"/>
      <c r="C516" s="6"/>
      <c r="D516" s="6"/>
      <c r="E516" s="6"/>
    </row>
    <row r="517">
      <c r="B517" s="6"/>
      <c r="C517" s="6"/>
      <c r="D517" s="6"/>
      <c r="E517" s="6"/>
    </row>
    <row r="518">
      <c r="B518" s="6"/>
      <c r="C518" s="6"/>
      <c r="D518" s="6"/>
      <c r="E518" s="6"/>
    </row>
    <row r="519">
      <c r="B519" s="6"/>
      <c r="C519" s="6"/>
      <c r="D519" s="6"/>
      <c r="E519" s="6"/>
    </row>
    <row r="520">
      <c r="B520" s="6"/>
      <c r="C520" s="6"/>
      <c r="D520" s="6"/>
      <c r="E520" s="6"/>
    </row>
    <row r="521">
      <c r="B521" s="6"/>
      <c r="C521" s="6"/>
      <c r="D521" s="6"/>
      <c r="E521" s="6"/>
    </row>
    <row r="522">
      <c r="B522" s="6"/>
      <c r="C522" s="6"/>
      <c r="D522" s="6"/>
      <c r="E522" s="6"/>
    </row>
    <row r="523">
      <c r="B523" s="6"/>
      <c r="C523" s="6"/>
      <c r="D523" s="6"/>
      <c r="E523" s="6"/>
    </row>
    <row r="524">
      <c r="B524" s="6"/>
      <c r="C524" s="6"/>
      <c r="D524" s="6"/>
      <c r="E524" s="6"/>
    </row>
    <row r="525">
      <c r="B525" s="6"/>
      <c r="C525" s="6"/>
      <c r="D525" s="6"/>
      <c r="E525" s="6"/>
    </row>
    <row r="526">
      <c r="B526" s="6"/>
      <c r="C526" s="6"/>
      <c r="D526" s="6"/>
      <c r="E526" s="6"/>
    </row>
    <row r="527">
      <c r="B527" s="6"/>
      <c r="C527" s="6"/>
      <c r="D527" s="6"/>
      <c r="E527" s="6"/>
    </row>
    <row r="528">
      <c r="B528" s="6"/>
      <c r="C528" s="6"/>
      <c r="D528" s="6"/>
      <c r="E528" s="6"/>
    </row>
    <row r="529">
      <c r="B529" s="6"/>
      <c r="C529" s="6"/>
      <c r="D529" s="6"/>
      <c r="E529" s="6"/>
    </row>
    <row r="530">
      <c r="B530" s="6"/>
      <c r="C530" s="6"/>
      <c r="D530" s="6"/>
      <c r="E530" s="6"/>
    </row>
    <row r="531">
      <c r="B531" s="6"/>
      <c r="C531" s="6"/>
      <c r="D531" s="6"/>
      <c r="E531" s="6"/>
    </row>
    <row r="532">
      <c r="B532" s="6"/>
      <c r="C532" s="6"/>
      <c r="D532" s="6"/>
      <c r="E532" s="6"/>
    </row>
    <row r="533">
      <c r="B533" s="6"/>
      <c r="C533" s="6"/>
      <c r="D533" s="6"/>
      <c r="E533" s="6"/>
    </row>
    <row r="534">
      <c r="B534" s="6"/>
      <c r="C534" s="6"/>
      <c r="D534" s="6"/>
      <c r="E534" s="6"/>
    </row>
    <row r="535">
      <c r="B535" s="6"/>
      <c r="C535" s="6"/>
      <c r="D535" s="6"/>
      <c r="E535" s="6"/>
    </row>
    <row r="536">
      <c r="B536" s="6"/>
      <c r="C536" s="6"/>
      <c r="D536" s="6"/>
      <c r="E536" s="6"/>
    </row>
    <row r="537">
      <c r="B537" s="6"/>
      <c r="C537" s="6"/>
      <c r="D537" s="6"/>
      <c r="E537" s="6"/>
    </row>
    <row r="538">
      <c r="B538" s="6"/>
      <c r="C538" s="6"/>
      <c r="D538" s="6"/>
      <c r="E538" s="6"/>
    </row>
    <row r="539">
      <c r="B539" s="6"/>
      <c r="C539" s="6"/>
      <c r="D539" s="6"/>
      <c r="E539" s="6"/>
    </row>
    <row r="540">
      <c r="B540" s="6"/>
      <c r="C540" s="6"/>
      <c r="D540" s="6"/>
      <c r="E540" s="6"/>
    </row>
    <row r="541">
      <c r="B541" s="6"/>
      <c r="C541" s="6"/>
      <c r="D541" s="6"/>
      <c r="E541" s="6"/>
    </row>
    <row r="542">
      <c r="B542" s="6"/>
      <c r="C542" s="6"/>
      <c r="D542" s="6"/>
      <c r="E542" s="6"/>
    </row>
    <row r="543">
      <c r="B543" s="6"/>
      <c r="C543" s="6"/>
      <c r="D543" s="6"/>
      <c r="E543" s="6"/>
    </row>
    <row r="544">
      <c r="B544" s="6"/>
      <c r="C544" s="6"/>
      <c r="D544" s="6"/>
      <c r="E544" s="6"/>
    </row>
    <row r="545">
      <c r="B545" s="6"/>
      <c r="C545" s="6"/>
      <c r="D545" s="6"/>
      <c r="E545" s="6"/>
    </row>
    <row r="546">
      <c r="B546" s="6"/>
      <c r="C546" s="6"/>
      <c r="D546" s="6"/>
      <c r="E546" s="6"/>
    </row>
    <row r="547">
      <c r="B547" s="6"/>
      <c r="C547" s="6"/>
      <c r="D547" s="6"/>
      <c r="E547" s="6"/>
    </row>
    <row r="548">
      <c r="B548" s="6"/>
      <c r="C548" s="6"/>
      <c r="D548" s="6"/>
      <c r="E548" s="6"/>
    </row>
    <row r="549">
      <c r="B549" s="6"/>
      <c r="C549" s="6"/>
      <c r="D549" s="6"/>
      <c r="E549" s="6"/>
    </row>
    <row r="550">
      <c r="B550" s="6"/>
      <c r="C550" s="6"/>
      <c r="D550" s="6"/>
      <c r="E550" s="6"/>
    </row>
    <row r="551">
      <c r="B551" s="6"/>
      <c r="C551" s="6"/>
      <c r="D551" s="6"/>
      <c r="E551" s="6"/>
    </row>
    <row r="552">
      <c r="B552" s="6"/>
      <c r="C552" s="6"/>
      <c r="D552" s="6"/>
      <c r="E552" s="6"/>
    </row>
    <row r="553">
      <c r="B553" s="6"/>
      <c r="C553" s="6"/>
      <c r="D553" s="6"/>
      <c r="E553" s="6"/>
    </row>
    <row r="554">
      <c r="B554" s="6"/>
      <c r="C554" s="6"/>
      <c r="D554" s="6"/>
      <c r="E554" s="6"/>
    </row>
    <row r="555">
      <c r="B555" s="6"/>
      <c r="C555" s="6"/>
      <c r="D555" s="6"/>
      <c r="E555" s="6"/>
    </row>
    <row r="556">
      <c r="B556" s="6"/>
      <c r="C556" s="6"/>
      <c r="D556" s="6"/>
      <c r="E556" s="6"/>
    </row>
    <row r="557">
      <c r="B557" s="6"/>
      <c r="C557" s="6"/>
      <c r="D557" s="6"/>
      <c r="E557" s="6"/>
    </row>
    <row r="558">
      <c r="B558" s="6"/>
      <c r="C558" s="6"/>
      <c r="D558" s="6"/>
      <c r="E558" s="6"/>
    </row>
    <row r="559">
      <c r="B559" s="6"/>
      <c r="C559" s="6"/>
      <c r="D559" s="6"/>
      <c r="E559" s="6"/>
    </row>
    <row r="560">
      <c r="B560" s="6"/>
      <c r="C560" s="6"/>
      <c r="D560" s="6"/>
      <c r="E560" s="6"/>
    </row>
    <row r="561">
      <c r="B561" s="6"/>
      <c r="C561" s="6"/>
      <c r="D561" s="6"/>
      <c r="E561" s="6"/>
    </row>
    <row r="562">
      <c r="B562" s="6"/>
      <c r="C562" s="6"/>
      <c r="D562" s="6"/>
      <c r="E562" s="6"/>
    </row>
    <row r="563">
      <c r="B563" s="6"/>
      <c r="C563" s="6"/>
      <c r="D563" s="6"/>
      <c r="E563" s="6"/>
    </row>
    <row r="564">
      <c r="B564" s="6"/>
      <c r="C564" s="6"/>
      <c r="D564" s="6"/>
      <c r="E564" s="6"/>
    </row>
    <row r="565">
      <c r="B565" s="6"/>
      <c r="C565" s="6"/>
      <c r="D565" s="6"/>
      <c r="E565" s="6"/>
    </row>
    <row r="566">
      <c r="B566" s="6"/>
      <c r="C566" s="6"/>
      <c r="D566" s="6"/>
      <c r="E566" s="6"/>
    </row>
    <row r="567">
      <c r="B567" s="6"/>
      <c r="C567" s="6"/>
      <c r="D567" s="6"/>
      <c r="E567" s="6"/>
    </row>
    <row r="568">
      <c r="B568" s="6"/>
      <c r="C568" s="6"/>
      <c r="D568" s="6"/>
      <c r="E568" s="6"/>
    </row>
    <row r="569">
      <c r="B569" s="6"/>
      <c r="C569" s="6"/>
      <c r="D569" s="6"/>
      <c r="E569" s="6"/>
    </row>
    <row r="570">
      <c r="B570" s="6"/>
      <c r="C570" s="6"/>
      <c r="D570" s="6"/>
      <c r="E570" s="6"/>
    </row>
    <row r="571">
      <c r="B571" s="6"/>
      <c r="C571" s="6"/>
      <c r="D571" s="6"/>
      <c r="E571" s="6"/>
    </row>
    <row r="572">
      <c r="B572" s="6"/>
      <c r="C572" s="6"/>
      <c r="D572" s="6"/>
      <c r="E572" s="6"/>
    </row>
    <row r="573">
      <c r="B573" s="6"/>
      <c r="C573" s="6"/>
      <c r="D573" s="6"/>
      <c r="E573" s="6"/>
    </row>
    <row r="574">
      <c r="B574" s="6"/>
      <c r="C574" s="6"/>
      <c r="D574" s="6"/>
      <c r="E574" s="6"/>
    </row>
    <row r="575">
      <c r="B575" s="6"/>
      <c r="C575" s="6"/>
      <c r="D575" s="6"/>
      <c r="E575" s="6"/>
    </row>
    <row r="576">
      <c r="B576" s="6"/>
      <c r="C576" s="6"/>
      <c r="D576" s="6"/>
      <c r="E576" s="6"/>
    </row>
    <row r="577">
      <c r="B577" s="6"/>
      <c r="C577" s="6"/>
      <c r="D577" s="6"/>
      <c r="E577" s="6"/>
    </row>
    <row r="578">
      <c r="B578" s="6"/>
      <c r="C578" s="6"/>
      <c r="D578" s="6"/>
      <c r="E578" s="6"/>
    </row>
    <row r="579">
      <c r="B579" s="6"/>
      <c r="C579" s="6"/>
      <c r="D579" s="6"/>
      <c r="E579" s="6"/>
    </row>
    <row r="580">
      <c r="B580" s="6"/>
      <c r="C580" s="6"/>
      <c r="D580" s="6"/>
      <c r="E580" s="6"/>
    </row>
    <row r="581">
      <c r="B581" s="6"/>
      <c r="C581" s="6"/>
      <c r="D581" s="6"/>
      <c r="E581" s="6"/>
    </row>
    <row r="582">
      <c r="B582" s="6"/>
      <c r="C582" s="6"/>
      <c r="D582" s="6"/>
      <c r="E582" s="6"/>
    </row>
    <row r="583">
      <c r="B583" s="6"/>
      <c r="C583" s="6"/>
      <c r="D583" s="6"/>
      <c r="E583" s="6"/>
    </row>
    <row r="584">
      <c r="B584" s="6"/>
      <c r="C584" s="6"/>
      <c r="D584" s="6"/>
      <c r="E584" s="6"/>
    </row>
    <row r="585">
      <c r="B585" s="6"/>
      <c r="C585" s="6"/>
      <c r="D585" s="6"/>
      <c r="E585" s="6"/>
    </row>
    <row r="586">
      <c r="B586" s="6"/>
      <c r="C586" s="6"/>
      <c r="D586" s="6"/>
      <c r="E586" s="6"/>
    </row>
    <row r="587">
      <c r="B587" s="6"/>
      <c r="C587" s="6"/>
      <c r="D587" s="6"/>
      <c r="E587" s="6"/>
    </row>
    <row r="588">
      <c r="B588" s="6"/>
      <c r="C588" s="6"/>
      <c r="D588" s="6"/>
      <c r="E588" s="6"/>
    </row>
    <row r="589">
      <c r="B589" s="6"/>
      <c r="C589" s="6"/>
      <c r="D589" s="6"/>
      <c r="E589" s="6"/>
    </row>
    <row r="590">
      <c r="B590" s="6"/>
      <c r="C590" s="6"/>
      <c r="D590" s="6"/>
      <c r="E590" s="6"/>
    </row>
    <row r="591">
      <c r="B591" s="6"/>
      <c r="C591" s="6"/>
      <c r="D591" s="6"/>
      <c r="E591" s="6"/>
    </row>
    <row r="592">
      <c r="B592" s="6"/>
      <c r="C592" s="6"/>
      <c r="D592" s="6"/>
      <c r="E592" s="6"/>
    </row>
    <row r="593">
      <c r="B593" s="6"/>
      <c r="C593" s="6"/>
      <c r="D593" s="6"/>
      <c r="E593" s="6"/>
    </row>
    <row r="594">
      <c r="B594" s="6"/>
      <c r="C594" s="6"/>
      <c r="D594" s="6"/>
      <c r="E594" s="6"/>
    </row>
    <row r="595">
      <c r="B595" s="6"/>
      <c r="C595" s="6"/>
      <c r="D595" s="6"/>
      <c r="E595" s="6"/>
    </row>
    <row r="596">
      <c r="B596" s="6"/>
      <c r="C596" s="6"/>
      <c r="D596" s="6"/>
      <c r="E596" s="6"/>
    </row>
    <row r="597">
      <c r="B597" s="6"/>
      <c r="C597" s="6"/>
      <c r="D597" s="6"/>
      <c r="E597" s="6"/>
    </row>
    <row r="598">
      <c r="B598" s="6"/>
      <c r="C598" s="6"/>
      <c r="D598" s="6"/>
      <c r="E598" s="6"/>
    </row>
    <row r="599">
      <c r="B599" s="6"/>
      <c r="C599" s="6"/>
      <c r="D599" s="6"/>
      <c r="E599" s="6"/>
    </row>
    <row r="600">
      <c r="B600" s="6"/>
      <c r="C600" s="6"/>
      <c r="D600" s="6"/>
      <c r="E600" s="6"/>
    </row>
    <row r="601">
      <c r="B601" s="6"/>
      <c r="C601" s="6"/>
      <c r="D601" s="6"/>
      <c r="E601" s="6"/>
    </row>
    <row r="602">
      <c r="B602" s="6"/>
      <c r="C602" s="6"/>
      <c r="D602" s="6"/>
      <c r="E602" s="6"/>
    </row>
    <row r="603">
      <c r="B603" s="6"/>
      <c r="C603" s="6"/>
      <c r="D603" s="6"/>
      <c r="E603" s="6"/>
    </row>
    <row r="604">
      <c r="B604" s="6"/>
      <c r="C604" s="6"/>
      <c r="D604" s="6"/>
      <c r="E604" s="6"/>
    </row>
    <row r="605">
      <c r="B605" s="6"/>
      <c r="C605" s="6"/>
      <c r="D605" s="6"/>
      <c r="E605" s="6"/>
    </row>
    <row r="606">
      <c r="B606" s="6"/>
      <c r="C606" s="6"/>
      <c r="D606" s="6"/>
      <c r="E606" s="6"/>
    </row>
    <row r="607">
      <c r="B607" s="6"/>
      <c r="C607" s="6"/>
      <c r="D607" s="6"/>
      <c r="E607" s="6"/>
    </row>
    <row r="608">
      <c r="B608" s="6"/>
      <c r="C608" s="6"/>
      <c r="D608" s="6"/>
      <c r="E608" s="6"/>
    </row>
    <row r="609">
      <c r="B609" s="6"/>
      <c r="C609" s="6"/>
      <c r="D609" s="6"/>
      <c r="E609" s="6"/>
    </row>
    <row r="610">
      <c r="B610" s="6"/>
      <c r="C610" s="6"/>
      <c r="D610" s="6"/>
      <c r="E610" s="6"/>
    </row>
    <row r="611">
      <c r="B611" s="6"/>
      <c r="C611" s="6"/>
      <c r="D611" s="6"/>
      <c r="E611" s="6"/>
    </row>
    <row r="612">
      <c r="B612" s="6"/>
      <c r="C612" s="6"/>
      <c r="D612" s="6"/>
      <c r="E612" s="6"/>
    </row>
    <row r="613">
      <c r="B613" s="6"/>
      <c r="C613" s="6"/>
      <c r="D613" s="6"/>
      <c r="E613" s="6"/>
    </row>
    <row r="614">
      <c r="B614" s="6"/>
      <c r="C614" s="6"/>
      <c r="D614" s="6"/>
      <c r="E614" s="6"/>
    </row>
    <row r="615">
      <c r="B615" s="6"/>
      <c r="C615" s="6"/>
      <c r="D615" s="6"/>
      <c r="E615" s="6"/>
    </row>
    <row r="616">
      <c r="B616" s="6"/>
      <c r="C616" s="6"/>
      <c r="D616" s="6"/>
      <c r="E616" s="6"/>
    </row>
    <row r="617">
      <c r="B617" s="6"/>
      <c r="C617" s="6"/>
      <c r="D617" s="6"/>
      <c r="E617" s="6"/>
    </row>
    <row r="618">
      <c r="B618" s="6"/>
      <c r="C618" s="6"/>
      <c r="D618" s="6"/>
      <c r="E618" s="6"/>
    </row>
    <row r="619">
      <c r="B619" s="6"/>
      <c r="C619" s="6"/>
      <c r="D619" s="6"/>
      <c r="E619" s="6"/>
    </row>
    <row r="620">
      <c r="B620" s="6"/>
      <c r="C620" s="6"/>
      <c r="D620" s="6"/>
      <c r="E620" s="6"/>
    </row>
    <row r="621">
      <c r="B621" s="6"/>
      <c r="C621" s="6"/>
      <c r="D621" s="6"/>
      <c r="E621" s="6"/>
    </row>
    <row r="622">
      <c r="B622" s="6"/>
      <c r="C622" s="6"/>
      <c r="D622" s="6"/>
      <c r="E622" s="6"/>
    </row>
    <row r="623">
      <c r="B623" s="6"/>
      <c r="C623" s="6"/>
      <c r="D623" s="6"/>
      <c r="E623" s="6"/>
    </row>
    <row r="624">
      <c r="B624" s="6"/>
      <c r="C624" s="6"/>
      <c r="D624" s="6"/>
      <c r="E624" s="6"/>
    </row>
    <row r="625">
      <c r="B625" s="6"/>
      <c r="C625" s="6"/>
      <c r="D625" s="6"/>
      <c r="E625" s="6"/>
    </row>
    <row r="626">
      <c r="B626" s="6"/>
      <c r="C626" s="6"/>
      <c r="D626" s="6"/>
      <c r="E626" s="6"/>
    </row>
    <row r="627">
      <c r="B627" s="6"/>
      <c r="C627" s="6"/>
      <c r="D627" s="6"/>
      <c r="E627" s="6"/>
    </row>
    <row r="628">
      <c r="B628" s="6"/>
      <c r="C628" s="6"/>
      <c r="D628" s="6"/>
      <c r="E628" s="6"/>
    </row>
    <row r="629">
      <c r="B629" s="6"/>
      <c r="C629" s="6"/>
      <c r="D629" s="6"/>
      <c r="E629" s="6"/>
    </row>
    <row r="630">
      <c r="B630" s="6"/>
      <c r="C630" s="6"/>
      <c r="D630" s="6"/>
      <c r="E630" s="6"/>
    </row>
    <row r="631">
      <c r="B631" s="6"/>
      <c r="C631" s="6"/>
      <c r="D631" s="6"/>
      <c r="E631" s="6"/>
    </row>
    <row r="632">
      <c r="B632" s="6"/>
      <c r="C632" s="6"/>
      <c r="D632" s="6"/>
      <c r="E632" s="6"/>
    </row>
    <row r="633">
      <c r="B633" s="6"/>
      <c r="C633" s="6"/>
      <c r="D633" s="6"/>
      <c r="E633" s="6"/>
    </row>
    <row r="634">
      <c r="B634" s="6"/>
      <c r="C634" s="6"/>
      <c r="D634" s="6"/>
      <c r="E634" s="6"/>
    </row>
    <row r="635">
      <c r="B635" s="6"/>
      <c r="C635" s="6"/>
      <c r="D635" s="6"/>
      <c r="E635" s="6"/>
    </row>
    <row r="636">
      <c r="B636" s="6"/>
      <c r="C636" s="6"/>
      <c r="D636" s="6"/>
      <c r="E636" s="6"/>
    </row>
    <row r="637">
      <c r="B637" s="6"/>
      <c r="C637" s="6"/>
      <c r="D637" s="6"/>
      <c r="E637" s="6"/>
    </row>
    <row r="638">
      <c r="B638" s="6"/>
      <c r="C638" s="6"/>
      <c r="D638" s="6"/>
      <c r="E638" s="6"/>
    </row>
    <row r="639">
      <c r="B639" s="6"/>
      <c r="C639" s="6"/>
      <c r="D639" s="6"/>
      <c r="E639" s="6"/>
    </row>
    <row r="640">
      <c r="B640" s="6"/>
      <c r="C640" s="6"/>
      <c r="D640" s="6"/>
      <c r="E640" s="6"/>
    </row>
    <row r="641">
      <c r="B641" s="6"/>
      <c r="C641" s="6"/>
      <c r="D641" s="6"/>
      <c r="E641" s="6"/>
    </row>
    <row r="642">
      <c r="B642" s="6"/>
      <c r="C642" s="6"/>
      <c r="D642" s="6"/>
      <c r="E642" s="6"/>
    </row>
    <row r="643">
      <c r="B643" s="6"/>
      <c r="C643" s="6"/>
      <c r="D643" s="6"/>
      <c r="E643" s="6"/>
    </row>
    <row r="644">
      <c r="B644" s="6"/>
      <c r="C644" s="6"/>
      <c r="D644" s="6"/>
      <c r="E644" s="6"/>
    </row>
    <row r="645">
      <c r="B645" s="6"/>
      <c r="C645" s="6"/>
      <c r="D645" s="6"/>
      <c r="E645" s="6"/>
    </row>
    <row r="646">
      <c r="B646" s="6"/>
      <c r="C646" s="6"/>
      <c r="D646" s="6"/>
      <c r="E646" s="6"/>
    </row>
    <row r="647">
      <c r="B647" s="6"/>
      <c r="C647" s="6"/>
      <c r="D647" s="6"/>
      <c r="E647" s="6"/>
    </row>
    <row r="648">
      <c r="B648" s="6"/>
      <c r="C648" s="6"/>
      <c r="D648" s="6"/>
      <c r="E648" s="6"/>
    </row>
    <row r="649">
      <c r="B649" s="6"/>
      <c r="C649" s="6"/>
      <c r="D649" s="6"/>
      <c r="E649" s="6"/>
    </row>
    <row r="650">
      <c r="B650" s="6"/>
      <c r="C650" s="6"/>
      <c r="D650" s="6"/>
      <c r="E650" s="6"/>
    </row>
    <row r="651">
      <c r="B651" s="6"/>
      <c r="C651" s="6"/>
      <c r="D651" s="6"/>
      <c r="E651" s="6"/>
    </row>
    <row r="652">
      <c r="B652" s="6"/>
      <c r="C652" s="6"/>
      <c r="D652" s="6"/>
      <c r="E652" s="6"/>
    </row>
    <row r="653">
      <c r="B653" s="6"/>
      <c r="C653" s="6"/>
      <c r="D653" s="6"/>
      <c r="E653" s="6"/>
    </row>
    <row r="654">
      <c r="B654" s="6"/>
      <c r="C654" s="6"/>
      <c r="D654" s="6"/>
      <c r="E654" s="6"/>
    </row>
    <row r="655">
      <c r="B655" s="6"/>
      <c r="C655" s="6"/>
      <c r="D655" s="6"/>
      <c r="E655" s="6"/>
    </row>
    <row r="656">
      <c r="B656" s="6"/>
      <c r="C656" s="6"/>
      <c r="D656" s="6"/>
      <c r="E656" s="6"/>
    </row>
    <row r="657">
      <c r="B657" s="6"/>
      <c r="C657" s="6"/>
      <c r="D657" s="6"/>
      <c r="E657" s="6"/>
    </row>
    <row r="658">
      <c r="B658" s="6"/>
      <c r="C658" s="6"/>
      <c r="D658" s="6"/>
      <c r="E658" s="6"/>
    </row>
    <row r="659">
      <c r="B659" s="6"/>
      <c r="C659" s="6"/>
      <c r="D659" s="6"/>
      <c r="E659" s="6"/>
    </row>
    <row r="660">
      <c r="B660" s="6"/>
      <c r="C660" s="6"/>
      <c r="D660" s="6"/>
      <c r="E660" s="6"/>
    </row>
    <row r="661">
      <c r="B661" s="6"/>
      <c r="C661" s="6"/>
      <c r="D661" s="6"/>
      <c r="E661" s="6"/>
    </row>
    <row r="662">
      <c r="B662" s="6"/>
      <c r="C662" s="6"/>
      <c r="D662" s="6"/>
      <c r="E662" s="6"/>
    </row>
    <row r="663">
      <c r="B663" s="6"/>
      <c r="C663" s="6"/>
      <c r="D663" s="6"/>
      <c r="E663" s="6"/>
    </row>
    <row r="664">
      <c r="B664" s="6"/>
      <c r="C664" s="6"/>
      <c r="D664" s="6"/>
      <c r="E664" s="6"/>
    </row>
    <row r="665">
      <c r="B665" s="6"/>
      <c r="C665" s="6"/>
      <c r="D665" s="6"/>
      <c r="E665" s="6"/>
    </row>
    <row r="666">
      <c r="B666" s="6"/>
      <c r="C666" s="6"/>
      <c r="D666" s="6"/>
      <c r="E666" s="6"/>
    </row>
    <row r="667">
      <c r="B667" s="6"/>
      <c r="C667" s="6"/>
      <c r="D667" s="6"/>
      <c r="E667" s="6"/>
    </row>
    <row r="668">
      <c r="B668" s="6"/>
      <c r="C668" s="6"/>
      <c r="D668" s="6"/>
      <c r="E668" s="6"/>
    </row>
    <row r="669">
      <c r="B669" s="6"/>
      <c r="C669" s="6"/>
      <c r="D669" s="6"/>
      <c r="E669" s="6"/>
    </row>
    <row r="670">
      <c r="B670" s="6"/>
      <c r="C670" s="6"/>
      <c r="D670" s="6"/>
      <c r="E670" s="6"/>
    </row>
    <row r="671">
      <c r="B671" s="6"/>
      <c r="C671" s="6"/>
      <c r="D671" s="6"/>
      <c r="E671" s="6"/>
    </row>
    <row r="672">
      <c r="B672" s="6"/>
      <c r="C672" s="6"/>
      <c r="D672" s="6"/>
      <c r="E672" s="6"/>
    </row>
    <row r="673">
      <c r="B673" s="6"/>
      <c r="C673" s="6"/>
      <c r="D673" s="6"/>
      <c r="E673" s="6"/>
    </row>
    <row r="674">
      <c r="B674" s="6"/>
      <c r="C674" s="6"/>
      <c r="D674" s="6"/>
      <c r="E674" s="6"/>
    </row>
    <row r="675">
      <c r="B675" s="6"/>
      <c r="C675" s="6"/>
      <c r="D675" s="6"/>
      <c r="E675" s="6"/>
    </row>
    <row r="676">
      <c r="B676" s="6"/>
      <c r="C676" s="6"/>
      <c r="D676" s="6"/>
      <c r="E676" s="6"/>
    </row>
    <row r="677">
      <c r="B677" s="6"/>
      <c r="C677" s="6"/>
      <c r="D677" s="6"/>
      <c r="E677" s="6"/>
    </row>
    <row r="678">
      <c r="B678" s="6"/>
      <c r="C678" s="6"/>
      <c r="D678" s="6"/>
      <c r="E678" s="6"/>
    </row>
    <row r="679">
      <c r="B679" s="6"/>
      <c r="C679" s="6"/>
      <c r="D679" s="6"/>
      <c r="E679" s="6"/>
    </row>
    <row r="680">
      <c r="B680" s="6"/>
      <c r="C680" s="6"/>
      <c r="D680" s="6"/>
      <c r="E680" s="6"/>
    </row>
    <row r="681">
      <c r="B681" s="6"/>
      <c r="C681" s="6"/>
      <c r="D681" s="6"/>
      <c r="E681" s="6"/>
    </row>
    <row r="682">
      <c r="B682" s="6"/>
      <c r="C682" s="6"/>
      <c r="D682" s="6"/>
      <c r="E682" s="6"/>
    </row>
    <row r="683">
      <c r="B683" s="6"/>
      <c r="C683" s="6"/>
      <c r="D683" s="6"/>
      <c r="E683" s="6"/>
    </row>
    <row r="684">
      <c r="B684" s="6"/>
      <c r="C684" s="6"/>
      <c r="D684" s="6"/>
      <c r="E684" s="6"/>
    </row>
    <row r="685">
      <c r="B685" s="6"/>
      <c r="C685" s="6"/>
      <c r="D685" s="6"/>
      <c r="E685" s="6"/>
    </row>
    <row r="686">
      <c r="B686" s="6"/>
      <c r="C686" s="6"/>
      <c r="D686" s="6"/>
      <c r="E686" s="6"/>
    </row>
    <row r="687">
      <c r="B687" s="6"/>
      <c r="C687" s="6"/>
      <c r="D687" s="6"/>
      <c r="E687" s="6"/>
    </row>
    <row r="688">
      <c r="B688" s="6"/>
      <c r="C688" s="6"/>
      <c r="D688" s="6"/>
      <c r="E688" s="6"/>
    </row>
    <row r="689">
      <c r="B689" s="6"/>
      <c r="C689" s="6"/>
      <c r="D689" s="6"/>
      <c r="E689" s="6"/>
    </row>
    <row r="690">
      <c r="B690" s="6"/>
      <c r="C690" s="6"/>
      <c r="D690" s="6"/>
      <c r="E690" s="6"/>
    </row>
    <row r="691">
      <c r="B691" s="6"/>
      <c r="C691" s="6"/>
      <c r="D691" s="6"/>
      <c r="E691" s="6"/>
    </row>
    <row r="692">
      <c r="B692" s="6"/>
      <c r="C692" s="6"/>
      <c r="D692" s="6"/>
      <c r="E692" s="6"/>
    </row>
    <row r="693">
      <c r="B693" s="6"/>
      <c r="C693" s="6"/>
      <c r="D693" s="6"/>
      <c r="E693" s="6"/>
    </row>
    <row r="694">
      <c r="B694" s="6"/>
      <c r="C694" s="6"/>
      <c r="D694" s="6"/>
      <c r="E694" s="6"/>
    </row>
    <row r="695">
      <c r="B695" s="6"/>
      <c r="C695" s="6"/>
      <c r="D695" s="6"/>
      <c r="E695" s="6"/>
    </row>
    <row r="696">
      <c r="B696" s="6"/>
      <c r="C696" s="6"/>
      <c r="D696" s="6"/>
      <c r="E696" s="6"/>
    </row>
    <row r="697">
      <c r="B697" s="6"/>
      <c r="C697" s="6"/>
      <c r="D697" s="6"/>
      <c r="E697" s="6"/>
    </row>
    <row r="698">
      <c r="B698" s="6"/>
      <c r="C698" s="6"/>
      <c r="D698" s="6"/>
      <c r="E698" s="6"/>
    </row>
    <row r="699">
      <c r="B699" s="6"/>
      <c r="C699" s="6"/>
      <c r="D699" s="6"/>
      <c r="E699" s="6"/>
    </row>
    <row r="700">
      <c r="B700" s="6"/>
      <c r="C700" s="6"/>
      <c r="D700" s="6"/>
      <c r="E700" s="6"/>
    </row>
    <row r="701">
      <c r="B701" s="6"/>
      <c r="C701" s="6"/>
      <c r="D701" s="6"/>
      <c r="E701" s="6"/>
    </row>
    <row r="702">
      <c r="B702" s="6"/>
      <c r="C702" s="6"/>
      <c r="D702" s="6"/>
      <c r="E702" s="6"/>
    </row>
    <row r="703">
      <c r="B703" s="6"/>
      <c r="C703" s="6"/>
      <c r="D703" s="6"/>
      <c r="E703" s="6"/>
    </row>
    <row r="704">
      <c r="B704" s="6"/>
      <c r="C704" s="6"/>
      <c r="D704" s="6"/>
      <c r="E704" s="6"/>
    </row>
    <row r="705">
      <c r="B705" s="6"/>
      <c r="C705" s="6"/>
      <c r="D705" s="6"/>
      <c r="E705" s="6"/>
    </row>
    <row r="706">
      <c r="B706" s="6"/>
      <c r="C706" s="6"/>
      <c r="D706" s="6"/>
      <c r="E706" s="6"/>
    </row>
    <row r="707">
      <c r="B707" s="6"/>
      <c r="C707" s="6"/>
      <c r="D707" s="6"/>
      <c r="E707" s="6"/>
    </row>
    <row r="708">
      <c r="B708" s="6"/>
      <c r="C708" s="6"/>
      <c r="D708" s="6"/>
      <c r="E708" s="6"/>
    </row>
    <row r="709">
      <c r="B709" s="6"/>
      <c r="C709" s="6"/>
      <c r="D709" s="6"/>
      <c r="E709" s="6"/>
    </row>
    <row r="710">
      <c r="B710" s="6"/>
      <c r="C710" s="6"/>
      <c r="D710" s="6"/>
      <c r="E710" s="6"/>
    </row>
    <row r="711">
      <c r="B711" s="6"/>
      <c r="C711" s="6"/>
      <c r="D711" s="6"/>
      <c r="E711" s="6"/>
    </row>
    <row r="712">
      <c r="B712" s="6"/>
      <c r="C712" s="6"/>
      <c r="D712" s="6"/>
      <c r="E712" s="6"/>
    </row>
    <row r="713">
      <c r="B713" s="6"/>
      <c r="C713" s="6"/>
      <c r="D713" s="6"/>
      <c r="E713" s="6"/>
    </row>
    <row r="714">
      <c r="B714" s="6"/>
      <c r="C714" s="6"/>
      <c r="D714" s="6"/>
      <c r="E714" s="6"/>
    </row>
    <row r="715">
      <c r="B715" s="6"/>
      <c r="C715" s="6"/>
      <c r="D715" s="6"/>
      <c r="E715" s="6"/>
    </row>
    <row r="716">
      <c r="B716" s="6"/>
      <c r="C716" s="6"/>
      <c r="D716" s="6"/>
      <c r="E716" s="6"/>
    </row>
    <row r="717">
      <c r="B717" s="6"/>
      <c r="C717" s="6"/>
      <c r="D717" s="6"/>
      <c r="E717" s="6"/>
    </row>
    <row r="718">
      <c r="B718" s="6"/>
      <c r="C718" s="6"/>
      <c r="D718" s="6"/>
      <c r="E718" s="6"/>
    </row>
    <row r="719">
      <c r="B719" s="6"/>
      <c r="C719" s="6"/>
      <c r="D719" s="6"/>
      <c r="E719" s="6"/>
    </row>
    <row r="720">
      <c r="B720" s="6"/>
      <c r="C720" s="6"/>
      <c r="D720" s="6"/>
      <c r="E720" s="6"/>
    </row>
    <row r="721">
      <c r="B721" s="6"/>
      <c r="C721" s="6"/>
      <c r="D721" s="6"/>
      <c r="E721" s="6"/>
    </row>
    <row r="722">
      <c r="B722" s="6"/>
      <c r="C722" s="6"/>
      <c r="D722" s="6"/>
      <c r="E722" s="6"/>
    </row>
    <row r="723">
      <c r="B723" s="6"/>
      <c r="C723" s="6"/>
      <c r="D723" s="6"/>
      <c r="E723" s="6"/>
    </row>
    <row r="724">
      <c r="B724" s="6"/>
      <c r="C724" s="6"/>
      <c r="D724" s="6"/>
      <c r="E724" s="6"/>
    </row>
    <row r="725">
      <c r="B725" s="6"/>
      <c r="C725" s="6"/>
      <c r="D725" s="6"/>
      <c r="E725" s="6"/>
    </row>
    <row r="726">
      <c r="B726" s="6"/>
      <c r="C726" s="6"/>
      <c r="D726" s="6"/>
      <c r="E726" s="6"/>
    </row>
    <row r="727">
      <c r="B727" s="6"/>
      <c r="C727" s="6"/>
      <c r="D727" s="6"/>
      <c r="E727" s="6"/>
    </row>
    <row r="728">
      <c r="B728" s="6"/>
      <c r="C728" s="6"/>
      <c r="D728" s="6"/>
      <c r="E728" s="6"/>
    </row>
    <row r="729">
      <c r="B729" s="6"/>
      <c r="C729" s="6"/>
      <c r="D729" s="6"/>
      <c r="E729" s="6"/>
    </row>
    <row r="730">
      <c r="B730" s="6"/>
      <c r="C730" s="6"/>
      <c r="D730" s="6"/>
      <c r="E730" s="6"/>
    </row>
    <row r="731">
      <c r="B731" s="6"/>
      <c r="C731" s="6"/>
      <c r="D731" s="6"/>
      <c r="E731" s="6"/>
    </row>
    <row r="732">
      <c r="B732" s="6"/>
      <c r="C732" s="6"/>
      <c r="D732" s="6"/>
      <c r="E732" s="6"/>
    </row>
    <row r="733">
      <c r="B733" s="6"/>
      <c r="C733" s="6"/>
      <c r="D733" s="6"/>
      <c r="E733" s="6"/>
    </row>
    <row r="734">
      <c r="B734" s="6"/>
      <c r="C734" s="6"/>
      <c r="D734" s="6"/>
      <c r="E734" s="6"/>
    </row>
    <row r="735">
      <c r="B735" s="6"/>
      <c r="C735" s="6"/>
      <c r="D735" s="6"/>
      <c r="E735" s="6"/>
    </row>
    <row r="736">
      <c r="B736" s="6"/>
      <c r="C736" s="6"/>
      <c r="D736" s="6"/>
      <c r="E736" s="6"/>
    </row>
    <row r="737">
      <c r="B737" s="6"/>
      <c r="C737" s="6"/>
      <c r="D737" s="6"/>
      <c r="E737" s="6"/>
    </row>
    <row r="738">
      <c r="B738" s="6"/>
      <c r="C738" s="6"/>
      <c r="D738" s="6"/>
      <c r="E738" s="6"/>
    </row>
    <row r="739">
      <c r="B739" s="6"/>
      <c r="C739" s="6"/>
      <c r="D739" s="6"/>
      <c r="E739" s="6"/>
    </row>
    <row r="740">
      <c r="B740" s="6"/>
      <c r="C740" s="6"/>
      <c r="D740" s="6"/>
      <c r="E740" s="6"/>
    </row>
    <row r="741">
      <c r="B741" s="6"/>
      <c r="C741" s="6"/>
      <c r="D741" s="6"/>
      <c r="E741" s="6"/>
    </row>
    <row r="742">
      <c r="B742" s="6"/>
      <c r="C742" s="6"/>
      <c r="D742" s="6"/>
      <c r="E742" s="6"/>
    </row>
    <row r="743">
      <c r="B743" s="6"/>
      <c r="C743" s="6"/>
      <c r="D743" s="6"/>
      <c r="E743" s="6"/>
    </row>
    <row r="744">
      <c r="B744" s="6"/>
      <c r="C744" s="6"/>
      <c r="D744" s="6"/>
      <c r="E744" s="6"/>
    </row>
    <row r="745">
      <c r="B745" s="6"/>
      <c r="C745" s="6"/>
      <c r="D745" s="6"/>
      <c r="E745" s="6"/>
    </row>
    <row r="746">
      <c r="B746" s="6"/>
      <c r="C746" s="6"/>
      <c r="D746" s="6"/>
      <c r="E746" s="6"/>
    </row>
    <row r="747">
      <c r="B747" s="6"/>
      <c r="C747" s="6"/>
      <c r="D747" s="6"/>
      <c r="E747" s="6"/>
    </row>
    <row r="748">
      <c r="B748" s="6"/>
      <c r="C748" s="6"/>
      <c r="D748" s="6"/>
      <c r="E748" s="6"/>
    </row>
    <row r="749">
      <c r="B749" s="6"/>
      <c r="C749" s="6"/>
      <c r="D749" s="6"/>
      <c r="E749" s="6"/>
    </row>
    <row r="750">
      <c r="B750" s="6"/>
      <c r="C750" s="6"/>
      <c r="D750" s="6"/>
      <c r="E750" s="6"/>
    </row>
    <row r="751">
      <c r="B751" s="6"/>
      <c r="C751" s="6"/>
      <c r="D751" s="6"/>
      <c r="E751" s="6"/>
    </row>
    <row r="752">
      <c r="B752" s="6"/>
      <c r="C752" s="6"/>
      <c r="D752" s="6"/>
      <c r="E752" s="6"/>
    </row>
    <row r="753">
      <c r="B753" s="6"/>
      <c r="C753" s="6"/>
      <c r="D753" s="6"/>
      <c r="E753" s="6"/>
    </row>
    <row r="754">
      <c r="B754" s="6"/>
      <c r="C754" s="6"/>
      <c r="D754" s="6"/>
      <c r="E754" s="6"/>
    </row>
    <row r="755">
      <c r="B755" s="6"/>
      <c r="C755" s="6"/>
      <c r="D755" s="6"/>
      <c r="E755" s="6"/>
    </row>
    <row r="756">
      <c r="B756" s="6"/>
      <c r="C756" s="6"/>
      <c r="D756" s="6"/>
      <c r="E756" s="6"/>
    </row>
    <row r="757">
      <c r="B757" s="6"/>
      <c r="C757" s="6"/>
      <c r="D757" s="6"/>
      <c r="E757" s="6"/>
    </row>
    <row r="758">
      <c r="B758" s="6"/>
      <c r="C758" s="6"/>
      <c r="D758" s="6"/>
      <c r="E758" s="6"/>
    </row>
    <row r="759">
      <c r="B759" s="6"/>
      <c r="C759" s="6"/>
      <c r="D759" s="6"/>
      <c r="E759" s="6"/>
    </row>
    <row r="760">
      <c r="B760" s="6"/>
      <c r="C760" s="6"/>
      <c r="D760" s="6"/>
      <c r="E760" s="6"/>
    </row>
    <row r="761">
      <c r="B761" s="6"/>
      <c r="C761" s="6"/>
      <c r="D761" s="6"/>
      <c r="E761" s="6"/>
    </row>
    <row r="762">
      <c r="B762" s="6"/>
      <c r="C762" s="6"/>
      <c r="D762" s="6"/>
      <c r="E762" s="6"/>
    </row>
    <row r="763">
      <c r="B763" s="6"/>
      <c r="C763" s="6"/>
      <c r="D763" s="6"/>
      <c r="E763" s="6"/>
    </row>
    <row r="764">
      <c r="B764" s="6"/>
      <c r="C764" s="6"/>
      <c r="D764" s="6"/>
      <c r="E764" s="6"/>
    </row>
    <row r="765">
      <c r="B765" s="6"/>
      <c r="C765" s="6"/>
      <c r="D765" s="6"/>
      <c r="E765" s="6"/>
    </row>
    <row r="766">
      <c r="B766" s="6"/>
      <c r="C766" s="6"/>
      <c r="D766" s="6"/>
      <c r="E766" s="6"/>
    </row>
    <row r="767">
      <c r="B767" s="6"/>
      <c r="C767" s="6"/>
      <c r="D767" s="6"/>
      <c r="E767" s="6"/>
    </row>
    <row r="768">
      <c r="B768" s="6"/>
      <c r="C768" s="6"/>
      <c r="D768" s="6"/>
      <c r="E768" s="6"/>
    </row>
    <row r="769">
      <c r="B769" s="6"/>
      <c r="C769" s="6"/>
      <c r="D769" s="6"/>
      <c r="E769" s="6"/>
    </row>
    <row r="770">
      <c r="B770" s="6"/>
      <c r="C770" s="6"/>
      <c r="D770" s="6"/>
      <c r="E770" s="6"/>
    </row>
    <row r="771">
      <c r="B771" s="6"/>
      <c r="C771" s="6"/>
      <c r="D771" s="6"/>
      <c r="E771" s="6"/>
    </row>
    <row r="772">
      <c r="B772" s="6"/>
      <c r="C772" s="6"/>
      <c r="D772" s="6"/>
      <c r="E772" s="6"/>
    </row>
    <row r="773">
      <c r="B773" s="6"/>
      <c r="C773" s="6"/>
      <c r="D773" s="6"/>
      <c r="E773" s="6"/>
    </row>
    <row r="774">
      <c r="B774" s="6"/>
      <c r="C774" s="6"/>
      <c r="D774" s="6"/>
      <c r="E774" s="6"/>
    </row>
    <row r="775">
      <c r="B775" s="6"/>
      <c r="C775" s="6"/>
      <c r="D775" s="6"/>
      <c r="E775" s="6"/>
    </row>
    <row r="776">
      <c r="B776" s="6"/>
      <c r="C776" s="6"/>
      <c r="D776" s="6"/>
      <c r="E776" s="6"/>
    </row>
    <row r="777">
      <c r="B777" s="6"/>
      <c r="C777" s="6"/>
      <c r="D777" s="6"/>
      <c r="E777" s="6"/>
    </row>
    <row r="778">
      <c r="B778" s="6"/>
      <c r="C778" s="6"/>
      <c r="D778" s="6"/>
      <c r="E778" s="6"/>
    </row>
    <row r="779">
      <c r="B779" s="6"/>
      <c r="C779" s="6"/>
      <c r="D779" s="6"/>
      <c r="E779" s="6"/>
    </row>
    <row r="780">
      <c r="B780" s="6"/>
      <c r="C780" s="6"/>
      <c r="D780" s="6"/>
      <c r="E780" s="6"/>
    </row>
    <row r="781">
      <c r="B781" s="6"/>
      <c r="C781" s="6"/>
      <c r="D781" s="6"/>
      <c r="E781" s="6"/>
    </row>
    <row r="782">
      <c r="B782" s="6"/>
      <c r="C782" s="6"/>
      <c r="D782" s="6"/>
      <c r="E782" s="6"/>
    </row>
    <row r="783">
      <c r="B783" s="6"/>
      <c r="C783" s="6"/>
      <c r="D783" s="6"/>
      <c r="E783" s="6"/>
    </row>
    <row r="784">
      <c r="B784" s="6"/>
      <c r="C784" s="6"/>
      <c r="D784" s="6"/>
      <c r="E784" s="6"/>
    </row>
    <row r="785">
      <c r="B785" s="6"/>
      <c r="C785" s="6"/>
      <c r="D785" s="6"/>
      <c r="E785" s="6"/>
    </row>
    <row r="786">
      <c r="B786" s="6"/>
      <c r="C786" s="6"/>
      <c r="D786" s="6"/>
      <c r="E786" s="6"/>
    </row>
    <row r="787">
      <c r="B787" s="6"/>
      <c r="C787" s="6"/>
      <c r="D787" s="6"/>
      <c r="E787" s="6"/>
    </row>
    <row r="788">
      <c r="B788" s="6"/>
      <c r="C788" s="6"/>
      <c r="D788" s="6"/>
      <c r="E788" s="6"/>
    </row>
    <row r="789">
      <c r="B789" s="6"/>
      <c r="C789" s="6"/>
      <c r="D789" s="6"/>
      <c r="E789" s="6"/>
    </row>
    <row r="790">
      <c r="B790" s="6"/>
      <c r="C790" s="6"/>
      <c r="D790" s="6"/>
      <c r="E790" s="6"/>
    </row>
    <row r="791">
      <c r="B791" s="6"/>
      <c r="C791" s="6"/>
      <c r="D791" s="6"/>
      <c r="E791" s="6"/>
    </row>
    <row r="792">
      <c r="B792" s="6"/>
      <c r="C792" s="6"/>
      <c r="D792" s="6"/>
      <c r="E792" s="6"/>
    </row>
    <row r="793">
      <c r="B793" s="6"/>
      <c r="C793" s="6"/>
      <c r="D793" s="6"/>
      <c r="E793" s="6"/>
    </row>
    <row r="794">
      <c r="B794" s="6"/>
      <c r="C794" s="6"/>
      <c r="D794" s="6"/>
      <c r="E794" s="6"/>
    </row>
    <row r="795">
      <c r="B795" s="6"/>
      <c r="C795" s="6"/>
      <c r="D795" s="6"/>
      <c r="E795" s="6"/>
    </row>
    <row r="796">
      <c r="B796" s="6"/>
      <c r="C796" s="6"/>
      <c r="D796" s="6"/>
      <c r="E796" s="6"/>
    </row>
    <row r="797">
      <c r="B797" s="6"/>
      <c r="C797" s="6"/>
      <c r="D797" s="6"/>
      <c r="E797" s="6"/>
    </row>
    <row r="798">
      <c r="B798" s="6"/>
      <c r="C798" s="6"/>
      <c r="D798" s="6"/>
      <c r="E798" s="6"/>
    </row>
    <row r="799">
      <c r="B799" s="6"/>
      <c r="C799" s="6"/>
      <c r="D799" s="6"/>
      <c r="E799" s="6"/>
    </row>
    <row r="800">
      <c r="B800" s="6"/>
      <c r="C800" s="6"/>
      <c r="D800" s="6"/>
      <c r="E800" s="6"/>
    </row>
    <row r="801">
      <c r="B801" s="6"/>
      <c r="C801" s="6"/>
      <c r="D801" s="6"/>
      <c r="E801" s="6"/>
    </row>
    <row r="802">
      <c r="B802" s="6"/>
      <c r="C802" s="6"/>
      <c r="D802" s="6"/>
      <c r="E802" s="6"/>
    </row>
    <row r="803">
      <c r="B803" s="6"/>
      <c r="C803" s="6"/>
      <c r="D803" s="6"/>
      <c r="E803" s="6"/>
    </row>
    <row r="804">
      <c r="B804" s="6"/>
      <c r="C804" s="6"/>
      <c r="D804" s="6"/>
      <c r="E804" s="6"/>
    </row>
    <row r="805">
      <c r="B805" s="6"/>
      <c r="C805" s="6"/>
      <c r="D805" s="6"/>
      <c r="E805" s="6"/>
    </row>
    <row r="806">
      <c r="B806" s="6"/>
      <c r="C806" s="6"/>
      <c r="D806" s="6"/>
      <c r="E806" s="6"/>
    </row>
    <row r="807">
      <c r="B807" s="6"/>
      <c r="C807" s="6"/>
      <c r="D807" s="6"/>
      <c r="E807" s="6"/>
    </row>
    <row r="808">
      <c r="B808" s="6"/>
      <c r="C808" s="6"/>
      <c r="D808" s="6"/>
      <c r="E808" s="6"/>
    </row>
    <row r="809">
      <c r="B809" s="6"/>
      <c r="C809" s="6"/>
      <c r="D809" s="6"/>
      <c r="E809" s="6"/>
    </row>
    <row r="810">
      <c r="B810" s="6"/>
      <c r="C810" s="6"/>
      <c r="D810" s="6"/>
      <c r="E810" s="6"/>
    </row>
    <row r="811">
      <c r="B811" s="6"/>
      <c r="C811" s="6"/>
      <c r="D811" s="6"/>
      <c r="E811" s="6"/>
    </row>
    <row r="812">
      <c r="B812" s="6"/>
      <c r="C812" s="6"/>
      <c r="D812" s="6"/>
      <c r="E812" s="6"/>
    </row>
    <row r="813">
      <c r="B813" s="6"/>
      <c r="C813" s="6"/>
      <c r="D813" s="6"/>
      <c r="E813" s="6"/>
    </row>
    <row r="814">
      <c r="B814" s="6"/>
      <c r="C814" s="6"/>
      <c r="D814" s="6"/>
      <c r="E814" s="6"/>
    </row>
    <row r="815">
      <c r="B815" s="6"/>
      <c r="C815" s="6"/>
      <c r="D815" s="6"/>
      <c r="E815" s="6"/>
    </row>
    <row r="816">
      <c r="B816" s="6"/>
      <c r="C816" s="6"/>
      <c r="D816" s="6"/>
      <c r="E816" s="6"/>
    </row>
    <row r="817">
      <c r="B817" s="6"/>
      <c r="C817" s="6"/>
      <c r="D817" s="6"/>
      <c r="E817" s="6"/>
    </row>
    <row r="818">
      <c r="B818" s="6"/>
      <c r="C818" s="6"/>
      <c r="D818" s="6"/>
      <c r="E818" s="6"/>
    </row>
    <row r="819">
      <c r="B819" s="6"/>
      <c r="C819" s="6"/>
      <c r="D819" s="6"/>
      <c r="E819" s="6"/>
    </row>
    <row r="820">
      <c r="B820" s="6"/>
      <c r="C820" s="6"/>
      <c r="D820" s="6"/>
      <c r="E820" s="6"/>
    </row>
    <row r="821">
      <c r="B821" s="6"/>
      <c r="C821" s="6"/>
      <c r="D821" s="6"/>
      <c r="E821" s="6"/>
    </row>
    <row r="822">
      <c r="B822" s="6"/>
      <c r="C822" s="6"/>
      <c r="D822" s="6"/>
      <c r="E822" s="6"/>
    </row>
    <row r="823">
      <c r="B823" s="6"/>
      <c r="C823" s="6"/>
      <c r="D823" s="6"/>
      <c r="E823" s="6"/>
    </row>
    <row r="824">
      <c r="B824" s="6"/>
      <c r="C824" s="6"/>
      <c r="D824" s="6"/>
      <c r="E824" s="6"/>
    </row>
    <row r="825">
      <c r="B825" s="6"/>
      <c r="C825" s="6"/>
      <c r="D825" s="6"/>
      <c r="E825" s="6"/>
    </row>
    <row r="826">
      <c r="B826" s="6"/>
      <c r="C826" s="6"/>
      <c r="D826" s="6"/>
      <c r="E826" s="6"/>
    </row>
    <row r="827">
      <c r="B827" s="6"/>
      <c r="C827" s="6"/>
      <c r="D827" s="6"/>
      <c r="E827" s="6"/>
    </row>
    <row r="828">
      <c r="B828" s="6"/>
      <c r="C828" s="6"/>
      <c r="D828" s="6"/>
      <c r="E828" s="6"/>
    </row>
    <row r="829">
      <c r="B829" s="6"/>
      <c r="C829" s="6"/>
      <c r="D829" s="6"/>
      <c r="E829" s="6"/>
    </row>
    <row r="830">
      <c r="B830" s="6"/>
      <c r="C830" s="6"/>
      <c r="D830" s="6"/>
      <c r="E830" s="6"/>
    </row>
    <row r="831">
      <c r="B831" s="6"/>
      <c r="C831" s="6"/>
      <c r="D831" s="6"/>
      <c r="E831" s="6"/>
    </row>
    <row r="832">
      <c r="B832" s="6"/>
      <c r="C832" s="6"/>
      <c r="D832" s="6"/>
      <c r="E832" s="6"/>
    </row>
    <row r="833">
      <c r="B833" s="6"/>
      <c r="C833" s="6"/>
      <c r="D833" s="6"/>
      <c r="E833" s="6"/>
    </row>
    <row r="834">
      <c r="B834" s="6"/>
      <c r="C834" s="6"/>
      <c r="D834" s="6"/>
      <c r="E834" s="6"/>
    </row>
    <row r="835">
      <c r="B835" s="6"/>
      <c r="C835" s="6"/>
      <c r="D835" s="6"/>
      <c r="E835" s="6"/>
    </row>
    <row r="836">
      <c r="B836" s="6"/>
      <c r="C836" s="6"/>
      <c r="D836" s="6"/>
      <c r="E836" s="6"/>
    </row>
    <row r="837">
      <c r="B837" s="6"/>
      <c r="C837" s="6"/>
      <c r="D837" s="6"/>
      <c r="E837" s="6"/>
    </row>
    <row r="838">
      <c r="B838" s="6"/>
      <c r="C838" s="6"/>
      <c r="D838" s="6"/>
      <c r="E838" s="6"/>
    </row>
    <row r="839">
      <c r="B839" s="6"/>
      <c r="C839" s="6"/>
      <c r="D839" s="6"/>
      <c r="E839" s="6"/>
    </row>
    <row r="840">
      <c r="B840" s="6"/>
      <c r="C840" s="6"/>
      <c r="D840" s="6"/>
      <c r="E840" s="6"/>
    </row>
    <row r="841">
      <c r="B841" s="6"/>
      <c r="C841" s="6"/>
      <c r="D841" s="6"/>
      <c r="E841" s="6"/>
    </row>
    <row r="842">
      <c r="B842" s="6"/>
      <c r="C842" s="6"/>
      <c r="D842" s="6"/>
      <c r="E842" s="6"/>
    </row>
    <row r="843">
      <c r="B843" s="6"/>
      <c r="C843" s="6"/>
      <c r="D843" s="6"/>
      <c r="E843" s="6"/>
    </row>
    <row r="844">
      <c r="B844" s="6"/>
      <c r="C844" s="6"/>
      <c r="D844" s="6"/>
      <c r="E844" s="6"/>
    </row>
    <row r="845">
      <c r="B845" s="6"/>
      <c r="C845" s="6"/>
      <c r="D845" s="6"/>
      <c r="E845" s="6"/>
    </row>
    <row r="846">
      <c r="B846" s="6"/>
      <c r="C846" s="6"/>
      <c r="D846" s="6"/>
      <c r="E846" s="6"/>
    </row>
    <row r="847">
      <c r="B847" s="6"/>
      <c r="C847" s="6"/>
      <c r="D847" s="6"/>
      <c r="E847" s="6"/>
    </row>
    <row r="848">
      <c r="B848" s="6"/>
      <c r="C848" s="6"/>
      <c r="D848" s="6"/>
      <c r="E848" s="6"/>
    </row>
    <row r="849">
      <c r="B849" s="6"/>
      <c r="C849" s="6"/>
      <c r="D849" s="6"/>
      <c r="E849" s="6"/>
    </row>
    <row r="850">
      <c r="B850" s="6"/>
      <c r="C850" s="6"/>
      <c r="D850" s="6"/>
      <c r="E850" s="6"/>
    </row>
    <row r="851">
      <c r="B851" s="6"/>
      <c r="C851" s="6"/>
      <c r="D851" s="6"/>
      <c r="E851" s="6"/>
    </row>
    <row r="852">
      <c r="B852" s="6"/>
      <c r="C852" s="6"/>
      <c r="D852" s="6"/>
      <c r="E852" s="6"/>
    </row>
    <row r="853">
      <c r="B853" s="6"/>
      <c r="C853" s="6"/>
      <c r="D853" s="6"/>
      <c r="E853" s="6"/>
    </row>
    <row r="854">
      <c r="B854" s="6"/>
      <c r="C854" s="6"/>
      <c r="D854" s="6"/>
      <c r="E854" s="6"/>
    </row>
    <row r="855">
      <c r="B855" s="6"/>
      <c r="C855" s="6"/>
      <c r="D855" s="6"/>
      <c r="E855" s="6"/>
    </row>
    <row r="856">
      <c r="B856" s="6"/>
      <c r="C856" s="6"/>
      <c r="D856" s="6"/>
      <c r="E856" s="6"/>
    </row>
    <row r="857">
      <c r="B857" s="6"/>
      <c r="C857" s="6"/>
      <c r="D857" s="6"/>
      <c r="E857" s="6"/>
    </row>
    <row r="858">
      <c r="B858" s="6"/>
      <c r="C858" s="6"/>
      <c r="D858" s="6"/>
      <c r="E858" s="6"/>
    </row>
    <row r="859">
      <c r="B859" s="6"/>
      <c r="C859" s="6"/>
      <c r="D859" s="6"/>
      <c r="E859" s="6"/>
    </row>
    <row r="860">
      <c r="B860" s="6"/>
      <c r="C860" s="6"/>
      <c r="D860" s="6"/>
      <c r="E860" s="6"/>
    </row>
    <row r="861">
      <c r="B861" s="6"/>
      <c r="C861" s="6"/>
      <c r="D861" s="6"/>
      <c r="E861" s="6"/>
    </row>
    <row r="862">
      <c r="B862" s="6"/>
      <c r="C862" s="6"/>
      <c r="D862" s="6"/>
      <c r="E862" s="6"/>
    </row>
    <row r="863">
      <c r="B863" s="6"/>
      <c r="C863" s="6"/>
      <c r="D863" s="6"/>
      <c r="E863" s="6"/>
    </row>
    <row r="864">
      <c r="B864" s="6"/>
      <c r="C864" s="6"/>
      <c r="D864" s="6"/>
      <c r="E864" s="6"/>
    </row>
    <row r="865">
      <c r="B865" s="6"/>
      <c r="C865" s="6"/>
      <c r="D865" s="6"/>
      <c r="E865" s="6"/>
    </row>
    <row r="866">
      <c r="B866" s="6"/>
      <c r="C866" s="6"/>
      <c r="D866" s="6"/>
      <c r="E866" s="6"/>
    </row>
    <row r="867">
      <c r="B867" s="6"/>
      <c r="C867" s="6"/>
      <c r="D867" s="6"/>
      <c r="E867" s="6"/>
    </row>
    <row r="868">
      <c r="B868" s="6"/>
      <c r="C868" s="6"/>
      <c r="D868" s="6"/>
      <c r="E868" s="6"/>
    </row>
    <row r="869">
      <c r="B869" s="6"/>
      <c r="C869" s="6"/>
      <c r="D869" s="6"/>
      <c r="E869" s="6"/>
    </row>
    <row r="870">
      <c r="B870" s="6"/>
      <c r="C870" s="6"/>
      <c r="D870" s="6"/>
      <c r="E870" s="6"/>
    </row>
    <row r="871">
      <c r="B871" s="6"/>
      <c r="C871" s="6"/>
      <c r="D871" s="6"/>
      <c r="E871" s="6"/>
    </row>
    <row r="872">
      <c r="B872" s="6"/>
      <c r="C872" s="6"/>
      <c r="D872" s="6"/>
      <c r="E872" s="6"/>
    </row>
    <row r="873">
      <c r="B873" s="6"/>
      <c r="C873" s="6"/>
      <c r="D873" s="6"/>
      <c r="E873" s="6"/>
    </row>
    <row r="874">
      <c r="B874" s="6"/>
      <c r="C874" s="6"/>
      <c r="D874" s="6"/>
      <c r="E874" s="6"/>
    </row>
    <row r="875">
      <c r="B875" s="6"/>
      <c r="C875" s="6"/>
      <c r="D875" s="6"/>
      <c r="E875" s="6"/>
    </row>
    <row r="876">
      <c r="B876" s="6"/>
      <c r="C876" s="6"/>
      <c r="D876" s="6"/>
      <c r="E876" s="6"/>
    </row>
    <row r="877">
      <c r="B877" s="6"/>
      <c r="C877" s="6"/>
      <c r="D877" s="6"/>
      <c r="E877" s="6"/>
    </row>
    <row r="878">
      <c r="B878" s="6"/>
      <c r="C878" s="6"/>
      <c r="D878" s="6"/>
      <c r="E878" s="6"/>
    </row>
    <row r="879">
      <c r="B879" s="6"/>
      <c r="C879" s="6"/>
      <c r="D879" s="6"/>
      <c r="E879" s="6"/>
    </row>
    <row r="880">
      <c r="B880" s="6"/>
      <c r="C880" s="6"/>
      <c r="D880" s="6"/>
      <c r="E880" s="6"/>
    </row>
    <row r="881">
      <c r="B881" s="6"/>
      <c r="C881" s="6"/>
      <c r="D881" s="6"/>
      <c r="E881" s="6"/>
    </row>
    <row r="882">
      <c r="B882" s="6"/>
      <c r="C882" s="6"/>
      <c r="D882" s="6"/>
      <c r="E882" s="6"/>
    </row>
    <row r="883">
      <c r="B883" s="6"/>
      <c r="C883" s="6"/>
      <c r="D883" s="6"/>
      <c r="E883" s="6"/>
    </row>
    <row r="884">
      <c r="B884" s="6"/>
      <c r="C884" s="6"/>
      <c r="D884" s="6"/>
      <c r="E884" s="6"/>
    </row>
    <row r="885">
      <c r="B885" s="6"/>
      <c r="C885" s="6"/>
      <c r="D885" s="6"/>
      <c r="E885" s="6"/>
    </row>
    <row r="886">
      <c r="B886" s="6"/>
      <c r="C886" s="6"/>
      <c r="D886" s="6"/>
      <c r="E886" s="6"/>
    </row>
    <row r="887">
      <c r="B887" s="6"/>
      <c r="C887" s="6"/>
      <c r="D887" s="6"/>
      <c r="E887" s="6"/>
    </row>
    <row r="888">
      <c r="B888" s="6"/>
      <c r="C888" s="6"/>
      <c r="D888" s="6"/>
      <c r="E888" s="6"/>
    </row>
    <row r="889">
      <c r="B889" s="6"/>
      <c r="C889" s="6"/>
      <c r="D889" s="6"/>
      <c r="E889" s="6"/>
    </row>
    <row r="890">
      <c r="B890" s="6"/>
      <c r="C890" s="6"/>
      <c r="D890" s="6"/>
      <c r="E890" s="6"/>
    </row>
    <row r="891">
      <c r="B891" s="6"/>
      <c r="C891" s="6"/>
      <c r="D891" s="6"/>
      <c r="E891" s="6"/>
    </row>
    <row r="892">
      <c r="B892" s="6"/>
      <c r="C892" s="6"/>
      <c r="D892" s="6"/>
      <c r="E892" s="6"/>
    </row>
    <row r="893">
      <c r="B893" s="6"/>
      <c r="C893" s="6"/>
      <c r="D893" s="6"/>
      <c r="E893" s="6"/>
    </row>
    <row r="894">
      <c r="B894" s="6"/>
      <c r="C894" s="6"/>
      <c r="D894" s="6"/>
      <c r="E894" s="6"/>
    </row>
    <row r="895">
      <c r="B895" s="6"/>
      <c r="C895" s="6"/>
      <c r="D895" s="6"/>
      <c r="E895" s="6"/>
    </row>
    <row r="896">
      <c r="B896" s="6"/>
      <c r="C896" s="6"/>
      <c r="D896" s="6"/>
      <c r="E896" s="6"/>
    </row>
    <row r="897">
      <c r="B897" s="6"/>
      <c r="C897" s="6"/>
      <c r="D897" s="6"/>
      <c r="E897" s="6"/>
    </row>
    <row r="898">
      <c r="B898" s="6"/>
      <c r="C898" s="6"/>
      <c r="D898" s="6"/>
      <c r="E898" s="6"/>
    </row>
    <row r="899">
      <c r="B899" s="6"/>
      <c r="C899" s="6"/>
      <c r="D899" s="6"/>
      <c r="E899" s="6"/>
    </row>
    <row r="900">
      <c r="B900" s="6"/>
      <c r="C900" s="6"/>
      <c r="D900" s="6"/>
      <c r="E900" s="6"/>
    </row>
    <row r="901">
      <c r="B901" s="6"/>
      <c r="C901" s="6"/>
      <c r="D901" s="6"/>
      <c r="E901" s="6"/>
    </row>
    <row r="902">
      <c r="B902" s="6"/>
      <c r="C902" s="6"/>
      <c r="D902" s="6"/>
      <c r="E902" s="6"/>
    </row>
    <row r="903">
      <c r="B903" s="6"/>
      <c r="C903" s="6"/>
      <c r="D903" s="6"/>
      <c r="E903" s="6"/>
    </row>
    <row r="904">
      <c r="B904" s="6"/>
      <c r="C904" s="6"/>
      <c r="D904" s="6"/>
      <c r="E904" s="6"/>
    </row>
    <row r="905">
      <c r="B905" s="6"/>
      <c r="C905" s="6"/>
      <c r="D905" s="6"/>
      <c r="E905" s="6"/>
    </row>
    <row r="906">
      <c r="B906" s="6"/>
      <c r="C906" s="6"/>
      <c r="D906" s="6"/>
      <c r="E906" s="6"/>
    </row>
    <row r="907">
      <c r="B907" s="6"/>
      <c r="C907" s="6"/>
      <c r="D907" s="6"/>
      <c r="E907" s="6"/>
    </row>
    <row r="908">
      <c r="B908" s="6"/>
      <c r="C908" s="6"/>
      <c r="D908" s="6"/>
      <c r="E908" s="6"/>
    </row>
    <row r="909">
      <c r="B909" s="6"/>
      <c r="C909" s="6"/>
      <c r="D909" s="6"/>
      <c r="E909" s="6"/>
    </row>
    <row r="910">
      <c r="B910" s="6"/>
      <c r="C910" s="6"/>
      <c r="D910" s="6"/>
      <c r="E910" s="6"/>
    </row>
    <row r="911">
      <c r="B911" s="6"/>
      <c r="C911" s="6"/>
      <c r="D911" s="6"/>
      <c r="E911" s="6"/>
    </row>
    <row r="912">
      <c r="B912" s="6"/>
      <c r="C912" s="6"/>
      <c r="D912" s="6"/>
      <c r="E912" s="6"/>
    </row>
    <row r="913">
      <c r="B913" s="6"/>
      <c r="C913" s="6"/>
      <c r="D913" s="6"/>
      <c r="E913" s="6"/>
    </row>
    <row r="914">
      <c r="B914" s="6"/>
      <c r="C914" s="6"/>
      <c r="D914" s="6"/>
      <c r="E914" s="6"/>
    </row>
    <row r="915">
      <c r="B915" s="6"/>
      <c r="C915" s="6"/>
      <c r="D915" s="6"/>
      <c r="E915" s="6"/>
    </row>
    <row r="916">
      <c r="B916" s="6"/>
      <c r="C916" s="6"/>
      <c r="D916" s="6"/>
      <c r="E916" s="6"/>
    </row>
    <row r="917">
      <c r="B917" s="6"/>
      <c r="C917" s="6"/>
      <c r="D917" s="6"/>
      <c r="E917" s="6"/>
    </row>
    <row r="918">
      <c r="B918" s="6"/>
      <c r="C918" s="6"/>
      <c r="D918" s="6"/>
      <c r="E918" s="6"/>
    </row>
    <row r="919">
      <c r="B919" s="6"/>
      <c r="C919" s="6"/>
      <c r="D919" s="6"/>
      <c r="E919" s="6"/>
    </row>
    <row r="920">
      <c r="B920" s="6"/>
      <c r="C920" s="6"/>
      <c r="D920" s="6"/>
      <c r="E920" s="6"/>
    </row>
    <row r="921">
      <c r="B921" s="6"/>
      <c r="C921" s="6"/>
      <c r="D921" s="6"/>
      <c r="E921" s="6"/>
    </row>
    <row r="922">
      <c r="B922" s="6"/>
      <c r="C922" s="6"/>
      <c r="D922" s="6"/>
      <c r="E922" s="6"/>
    </row>
    <row r="923">
      <c r="B923" s="6"/>
      <c r="C923" s="6"/>
      <c r="D923" s="6"/>
      <c r="E923" s="6"/>
    </row>
    <row r="924">
      <c r="B924" s="6"/>
      <c r="C924" s="6"/>
      <c r="D924" s="6"/>
      <c r="E924" s="6"/>
    </row>
    <row r="925">
      <c r="B925" s="6"/>
      <c r="C925" s="6"/>
      <c r="D925" s="6"/>
      <c r="E925" s="6"/>
    </row>
    <row r="926">
      <c r="B926" s="6"/>
      <c r="C926" s="6"/>
      <c r="D926" s="6"/>
      <c r="E926" s="6"/>
    </row>
    <row r="927">
      <c r="B927" s="6"/>
      <c r="C927" s="6"/>
      <c r="D927" s="6"/>
      <c r="E927" s="6"/>
    </row>
    <row r="928">
      <c r="B928" s="6"/>
      <c r="C928" s="6"/>
      <c r="D928" s="6"/>
      <c r="E928" s="6"/>
    </row>
    <row r="929">
      <c r="B929" s="6"/>
      <c r="C929" s="6"/>
      <c r="D929" s="6"/>
      <c r="E929" s="6"/>
    </row>
    <row r="930">
      <c r="B930" s="6"/>
      <c r="C930" s="6"/>
      <c r="D930" s="6"/>
      <c r="E930" s="6"/>
    </row>
    <row r="931">
      <c r="B931" s="6"/>
      <c r="C931" s="6"/>
      <c r="D931" s="6"/>
      <c r="E931" s="6"/>
    </row>
    <row r="932">
      <c r="B932" s="6"/>
      <c r="C932" s="6"/>
      <c r="D932" s="6"/>
      <c r="E932" s="6"/>
    </row>
    <row r="933">
      <c r="B933" s="6"/>
      <c r="C933" s="6"/>
      <c r="D933" s="6"/>
      <c r="E933" s="6"/>
    </row>
    <row r="934">
      <c r="B934" s="6"/>
      <c r="C934" s="6"/>
      <c r="D934" s="6"/>
      <c r="E934" s="6"/>
    </row>
    <row r="935">
      <c r="B935" s="6"/>
      <c r="C935" s="6"/>
      <c r="D935" s="6"/>
      <c r="E935" s="6"/>
    </row>
    <row r="936">
      <c r="B936" s="6"/>
      <c r="C936" s="6"/>
      <c r="D936" s="6"/>
      <c r="E936" s="6"/>
    </row>
    <row r="937">
      <c r="B937" s="6"/>
      <c r="C937" s="6"/>
      <c r="D937" s="6"/>
      <c r="E937" s="6"/>
    </row>
    <row r="938">
      <c r="B938" s="6"/>
      <c r="C938" s="6"/>
      <c r="D938" s="6"/>
      <c r="E938" s="6"/>
    </row>
    <row r="939">
      <c r="B939" s="6"/>
      <c r="C939" s="6"/>
      <c r="D939" s="6"/>
      <c r="E939" s="6"/>
    </row>
    <row r="940">
      <c r="B940" s="6"/>
      <c r="C940" s="6"/>
      <c r="D940" s="6"/>
      <c r="E940" s="6"/>
    </row>
    <row r="941">
      <c r="B941" s="6"/>
      <c r="C941" s="6"/>
      <c r="D941" s="6"/>
      <c r="E941" s="6"/>
    </row>
    <row r="942">
      <c r="B942" s="6"/>
      <c r="C942" s="6"/>
      <c r="D942" s="6"/>
      <c r="E942" s="6"/>
    </row>
    <row r="943">
      <c r="B943" s="6"/>
      <c r="C943" s="6"/>
      <c r="D943" s="6"/>
      <c r="E943" s="6"/>
    </row>
    <row r="944">
      <c r="B944" s="6"/>
      <c r="C944" s="6"/>
      <c r="D944" s="6"/>
      <c r="E944" s="6"/>
    </row>
    <row r="945">
      <c r="B945" s="6"/>
      <c r="C945" s="6"/>
      <c r="D945" s="6"/>
      <c r="E945" s="6"/>
    </row>
    <row r="946">
      <c r="B946" s="6"/>
      <c r="C946" s="6"/>
      <c r="D946" s="6"/>
      <c r="E946" s="6"/>
    </row>
    <row r="947">
      <c r="B947" s="6"/>
      <c r="C947" s="6"/>
      <c r="D947" s="6"/>
      <c r="E947" s="6"/>
    </row>
    <row r="948">
      <c r="B948" s="6"/>
      <c r="C948" s="6"/>
      <c r="D948" s="6"/>
      <c r="E948" s="6"/>
    </row>
    <row r="949">
      <c r="B949" s="6"/>
      <c r="C949" s="6"/>
      <c r="D949" s="6"/>
      <c r="E949" s="6"/>
    </row>
    <row r="950">
      <c r="B950" s="6"/>
      <c r="C950" s="6"/>
      <c r="D950" s="6"/>
      <c r="E950" s="6"/>
    </row>
    <row r="951">
      <c r="B951" s="6"/>
      <c r="C951" s="6"/>
      <c r="D951" s="6"/>
      <c r="E951" s="6"/>
    </row>
    <row r="952">
      <c r="B952" s="6"/>
      <c r="C952" s="6"/>
      <c r="D952" s="6"/>
      <c r="E952" s="6"/>
    </row>
    <row r="953">
      <c r="B953" s="6"/>
      <c r="C953" s="6"/>
      <c r="D953" s="6"/>
      <c r="E953" s="6"/>
    </row>
    <row r="954">
      <c r="B954" s="6"/>
      <c r="C954" s="6"/>
      <c r="D954" s="6"/>
      <c r="E954" s="6"/>
    </row>
    <row r="955">
      <c r="B955" s="6"/>
      <c r="C955" s="6"/>
      <c r="D955" s="6"/>
      <c r="E955" s="6"/>
    </row>
    <row r="956">
      <c r="B956" s="6"/>
      <c r="C956" s="6"/>
      <c r="D956" s="6"/>
      <c r="E956" s="6"/>
    </row>
    <row r="957">
      <c r="B957" s="6"/>
      <c r="C957" s="6"/>
      <c r="D957" s="6"/>
      <c r="E957" s="6"/>
    </row>
    <row r="958">
      <c r="B958" s="6"/>
      <c r="C958" s="6"/>
      <c r="D958" s="6"/>
      <c r="E958" s="6"/>
    </row>
    <row r="959">
      <c r="B959" s="6"/>
      <c r="C959" s="6"/>
      <c r="D959" s="6"/>
      <c r="E959" s="6"/>
    </row>
    <row r="960">
      <c r="B960" s="6"/>
      <c r="C960" s="6"/>
      <c r="D960" s="6"/>
      <c r="E960" s="6"/>
    </row>
    <row r="961">
      <c r="B961" s="6"/>
      <c r="C961" s="6"/>
      <c r="D961" s="6"/>
      <c r="E961" s="6"/>
    </row>
    <row r="962">
      <c r="B962" s="6"/>
      <c r="C962" s="6"/>
      <c r="D962" s="6"/>
      <c r="E962" s="6"/>
    </row>
    <row r="963">
      <c r="B963" s="6"/>
      <c r="C963" s="6"/>
      <c r="D963" s="6"/>
      <c r="E963" s="6"/>
    </row>
    <row r="964">
      <c r="B964" s="6"/>
      <c r="C964" s="6"/>
      <c r="D964" s="6"/>
      <c r="E964" s="6"/>
    </row>
    <row r="965">
      <c r="B965" s="6"/>
      <c r="C965" s="6"/>
      <c r="D965" s="6"/>
      <c r="E965" s="6"/>
    </row>
    <row r="966">
      <c r="B966" s="6"/>
      <c r="C966" s="6"/>
      <c r="D966" s="6"/>
      <c r="E966" s="6"/>
    </row>
    <row r="967">
      <c r="B967" s="6"/>
      <c r="C967" s="6"/>
      <c r="D967" s="6"/>
      <c r="E967" s="6"/>
    </row>
    <row r="968">
      <c r="B968" s="6"/>
      <c r="C968" s="6"/>
      <c r="D968" s="6"/>
      <c r="E968" s="6"/>
    </row>
    <row r="969">
      <c r="B969" s="6"/>
      <c r="C969" s="6"/>
      <c r="D969" s="6"/>
      <c r="E969" s="6"/>
    </row>
    <row r="970">
      <c r="B970" s="6"/>
      <c r="C970" s="6"/>
      <c r="D970" s="6"/>
      <c r="E970" s="6"/>
    </row>
    <row r="971">
      <c r="B971" s="6"/>
      <c r="C971" s="6"/>
      <c r="D971" s="6"/>
      <c r="E971" s="6"/>
    </row>
    <row r="972">
      <c r="B972" s="6"/>
      <c r="C972" s="6"/>
      <c r="D972" s="6"/>
      <c r="E972" s="6"/>
    </row>
    <row r="973">
      <c r="B973" s="6"/>
      <c r="C973" s="6"/>
      <c r="D973" s="6"/>
      <c r="E973" s="6"/>
    </row>
    <row r="974">
      <c r="B974" s="6"/>
      <c r="C974" s="6"/>
      <c r="D974" s="6"/>
      <c r="E974" s="6"/>
    </row>
    <row r="975">
      <c r="B975" s="6"/>
      <c r="C975" s="6"/>
      <c r="D975" s="6"/>
      <c r="E975" s="6"/>
    </row>
    <row r="976">
      <c r="B976" s="6"/>
      <c r="C976" s="6"/>
      <c r="D976" s="6"/>
      <c r="E976" s="6"/>
    </row>
    <row r="977">
      <c r="B977" s="6"/>
      <c r="C977" s="6"/>
      <c r="D977" s="6"/>
      <c r="E977" s="6"/>
    </row>
    <row r="978">
      <c r="B978" s="6"/>
      <c r="C978" s="6"/>
      <c r="D978" s="6"/>
      <c r="E978" s="6"/>
    </row>
    <row r="979">
      <c r="B979" s="6"/>
      <c r="C979" s="6"/>
      <c r="D979" s="6"/>
      <c r="E979" s="6"/>
    </row>
    <row r="980">
      <c r="B980" s="6"/>
      <c r="C980" s="6"/>
      <c r="D980" s="6"/>
      <c r="E980" s="6"/>
    </row>
    <row r="981">
      <c r="B981" s="6"/>
      <c r="C981" s="6"/>
      <c r="D981" s="6"/>
      <c r="E981" s="6"/>
    </row>
    <row r="982">
      <c r="B982" s="6"/>
      <c r="C982" s="6"/>
      <c r="D982" s="6"/>
      <c r="E982" s="6"/>
    </row>
    <row r="983">
      <c r="B983" s="6"/>
      <c r="C983" s="6"/>
      <c r="D983" s="6"/>
      <c r="E983" s="6"/>
    </row>
    <row r="984">
      <c r="B984" s="6"/>
      <c r="C984" s="6"/>
      <c r="D984" s="6"/>
      <c r="E984" s="6"/>
    </row>
    <row r="985">
      <c r="B985" s="6"/>
      <c r="C985" s="6"/>
      <c r="D985" s="6"/>
      <c r="E985" s="6"/>
    </row>
    <row r="986">
      <c r="B986" s="6"/>
      <c r="C986" s="6"/>
      <c r="D986" s="6"/>
      <c r="E986" s="6"/>
    </row>
    <row r="987">
      <c r="B987" s="6"/>
      <c r="C987" s="6"/>
      <c r="D987" s="6"/>
      <c r="E987" s="6"/>
    </row>
    <row r="988">
      <c r="B988" s="6"/>
      <c r="C988" s="6"/>
      <c r="D988" s="6"/>
      <c r="E988" s="6"/>
    </row>
    <row r="989">
      <c r="B989" s="6"/>
      <c r="C989" s="6"/>
      <c r="D989" s="6"/>
      <c r="E989" s="6"/>
    </row>
    <row r="990">
      <c r="B990" s="6"/>
      <c r="C990" s="6"/>
      <c r="D990" s="6"/>
      <c r="E990" s="6"/>
    </row>
    <row r="991">
      <c r="B991" s="6"/>
      <c r="C991" s="6"/>
      <c r="D991" s="6"/>
      <c r="E991" s="6"/>
    </row>
    <row r="992">
      <c r="B992" s="6"/>
      <c r="C992" s="6"/>
      <c r="D992" s="6"/>
      <c r="E992" s="6"/>
    </row>
    <row r="993">
      <c r="B993" s="6"/>
      <c r="C993" s="6"/>
      <c r="D993" s="6"/>
      <c r="E993" s="6"/>
    </row>
    <row r="994">
      <c r="B994" s="6"/>
      <c r="C994" s="6"/>
      <c r="D994" s="6"/>
      <c r="E994" s="6"/>
    </row>
    <row r="995">
      <c r="B995" s="6"/>
      <c r="C995" s="6"/>
      <c r="D995" s="6"/>
      <c r="E995" s="6"/>
    </row>
    <row r="996">
      <c r="B996" s="6"/>
      <c r="C996" s="6"/>
      <c r="D996" s="6"/>
      <c r="E996" s="6"/>
    </row>
    <row r="997">
      <c r="B997" s="6"/>
      <c r="C997" s="6"/>
      <c r="D997" s="6"/>
      <c r="E997" s="6"/>
    </row>
    <row r="998">
      <c r="B998" s="6"/>
      <c r="C998" s="6"/>
      <c r="D998" s="6"/>
      <c r="E998" s="6"/>
    </row>
    <row r="999">
      <c r="B999" s="6"/>
      <c r="C999" s="6"/>
      <c r="D999" s="6"/>
      <c r="E999" s="6"/>
    </row>
    <row r="1000">
      <c r="B1000" s="6"/>
      <c r="C1000" s="6"/>
      <c r="D1000" s="6"/>
      <c r="E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0"/>
    <col customWidth="1" min="12" max="12" width="19.13"/>
    <col customWidth="1" min="13" max="13" width="16.75"/>
  </cols>
  <sheetData>
    <row r="1">
      <c r="A1" s="1" t="s">
        <v>336</v>
      </c>
      <c r="B1" s="1" t="s">
        <v>337</v>
      </c>
      <c r="C1" s="1" t="s">
        <v>338</v>
      </c>
      <c r="D1" s="1" t="s">
        <v>339</v>
      </c>
      <c r="E1" s="1" t="s">
        <v>340</v>
      </c>
      <c r="F1" s="1" t="s">
        <v>341</v>
      </c>
      <c r="G1" s="1" t="s">
        <v>342</v>
      </c>
      <c r="H1" s="1" t="s">
        <v>343</v>
      </c>
      <c r="I1" s="1" t="s">
        <v>344</v>
      </c>
      <c r="J1" s="1" t="s">
        <v>345</v>
      </c>
    </row>
    <row r="2">
      <c r="A2" s="1" t="str">
        <f>LMS_Loan_Tape!A2</f>
        <v>LN-10001</v>
      </c>
      <c r="B2" s="6">
        <f>VLOOKUP(A2,Actual_Revenue!A:G,2,FALSE)</f>
        <v>305868</v>
      </c>
      <c r="C2" s="6">
        <f>VLOOKUP(A2,Actual_Revenue!A:G,4,FALSE)</f>
        <v>299750</v>
      </c>
      <c r="D2" s="6">
        <f t="shared" ref="D2:D301" si="1">B2-C2</f>
        <v>6118</v>
      </c>
      <c r="E2" s="7">
        <f t="shared" ref="E2:E301" si="2">(D2/B2)</f>
        <v>0.02000209241</v>
      </c>
      <c r="F2" s="6">
        <f>VLOOKUP(A2,Actual_Revenue!A:G,3,false)</f>
        <v>33318</v>
      </c>
      <c r="G2" s="6">
        <f>VLOOKUP(A2,Actual_Revenue!A:G,5,false)</f>
        <v>33318</v>
      </c>
      <c r="H2" s="6">
        <f t="shared" ref="H2:H301" si="3">F2-G2</f>
        <v>0</v>
      </c>
      <c r="I2" s="5" t="str">
        <f t="shared" ref="I2:I301" si="4">IF(AND(D2=0, H2=0),"MATCHED","EXCEPTION")</f>
        <v>EXCEPTION</v>
      </c>
      <c r="J2" s="5" t="str">
        <f>VLOOKUP(A2,Actual_Revenue!A:G,7,false)</f>
        <v/>
      </c>
      <c r="L2" s="1" t="s">
        <v>346</v>
      </c>
    </row>
    <row r="3">
      <c r="A3" s="1" t="str">
        <f>LMS_Loan_Tape!A3</f>
        <v>LN-10002</v>
      </c>
      <c r="B3" s="6">
        <f>VLOOKUP(A3,Actual_Revenue!A:G,2,FALSE)</f>
        <v>70319</v>
      </c>
      <c r="C3" s="6">
        <f>VLOOKUP(A3,Actual_Revenue!A:G,4,FALSE)</f>
        <v>70754</v>
      </c>
      <c r="D3" s="6">
        <f t="shared" si="1"/>
        <v>-435</v>
      </c>
      <c r="E3" s="7">
        <f t="shared" si="2"/>
        <v>-0.006186094797</v>
      </c>
      <c r="F3" s="6">
        <f>VLOOKUP(A3,Actual_Revenue!A:G,3,false)</f>
        <v>9347</v>
      </c>
      <c r="G3" s="6">
        <f>VLOOKUP(A3,Actual_Revenue!A:G,5,false)</f>
        <v>9347</v>
      </c>
      <c r="H3" s="6">
        <f t="shared" si="3"/>
        <v>0</v>
      </c>
      <c r="I3" s="5" t="str">
        <f t="shared" si="4"/>
        <v>EXCEPTION</v>
      </c>
      <c r="J3" s="5" t="str">
        <f>VLOOKUP(A3,Actual_Revenue!A:G,7,false)</f>
        <v>System Error</v>
      </c>
      <c r="L3" s="8" t="s">
        <v>347</v>
      </c>
      <c r="M3" s="8" t="s">
        <v>348</v>
      </c>
      <c r="N3" s="8" t="s">
        <v>349</v>
      </c>
      <c r="O3" s="8" t="s">
        <v>350</v>
      </c>
    </row>
    <row r="4">
      <c r="A4" s="1" t="str">
        <f>LMS_Loan_Tape!A4</f>
        <v>LN-10003</v>
      </c>
      <c r="B4" s="6">
        <f>VLOOKUP(A4,Actual_Revenue!A:G,2,FALSE)</f>
        <v>117029</v>
      </c>
      <c r="C4" s="6">
        <f>VLOOKUP(A4,Actual_Revenue!A:G,4,FALSE)</f>
        <v>117029</v>
      </c>
      <c r="D4" s="6">
        <f t="shared" si="1"/>
        <v>0</v>
      </c>
      <c r="E4" s="7">
        <f t="shared" si="2"/>
        <v>0</v>
      </c>
      <c r="F4" s="6">
        <f>VLOOKUP(A4,Actual_Revenue!A:G,3,false)</f>
        <v>12951</v>
      </c>
      <c r="G4" s="6">
        <f>VLOOKUP(A4,Actual_Revenue!A:G,5,false)</f>
        <v>12951</v>
      </c>
      <c r="H4" s="6">
        <f t="shared" si="3"/>
        <v>0</v>
      </c>
      <c r="I4" s="5" t="str">
        <f t="shared" si="4"/>
        <v>MATCHED</v>
      </c>
      <c r="J4" s="5" t="str">
        <f>VLOOKUP(A4,Actual_Revenue!A:G,7,false)</f>
        <v/>
      </c>
      <c r="L4" s="9">
        <f>SUM(B:B) + SUM(F:F)</f>
        <v>50685675</v>
      </c>
      <c r="M4" s="9">
        <f>SUM(C:C,G:G)</f>
        <v>49630259</v>
      </c>
      <c r="N4" s="9">
        <f>L4-M4</f>
        <v>1055416</v>
      </c>
      <c r="O4" s="10">
        <f>COUNTIF(I:I, "MATCHED") / COUNTA(A:A) </f>
        <v>0.7109634551</v>
      </c>
    </row>
    <row r="5">
      <c r="A5" s="1" t="str">
        <f>LMS_Loan_Tape!A5</f>
        <v>LN-10004</v>
      </c>
      <c r="B5" s="6">
        <f>VLOOKUP(A5,Actual_Revenue!A:G,2,FALSE)</f>
        <v>19511</v>
      </c>
      <c r="C5" s="6">
        <f>VLOOKUP(A5,Actual_Revenue!A:G,4,FALSE)</f>
        <v>19511</v>
      </c>
      <c r="D5" s="6">
        <f t="shared" si="1"/>
        <v>0</v>
      </c>
      <c r="E5" s="7">
        <f t="shared" si="2"/>
        <v>0</v>
      </c>
      <c r="F5" s="6">
        <f>VLOOKUP(A5,Actual_Revenue!A:G,3,false)</f>
        <v>24107</v>
      </c>
      <c r="G5" s="6">
        <f>VLOOKUP(A5,Actual_Revenue!A:G,5,false)</f>
        <v>24107</v>
      </c>
      <c r="H5" s="6">
        <f t="shared" si="3"/>
        <v>0</v>
      </c>
      <c r="I5" s="5" t="str">
        <f t="shared" si="4"/>
        <v>MATCHED</v>
      </c>
      <c r="J5" s="5" t="str">
        <f>VLOOKUP(A5,Actual_Revenue!A:G,7,false)</f>
        <v/>
      </c>
    </row>
    <row r="6">
      <c r="A6" s="1" t="str">
        <f>LMS_Loan_Tape!A6</f>
        <v>LN-10005</v>
      </c>
      <c r="B6" s="6">
        <f>VLOOKUP(A6,Actual_Revenue!A:G,2,FALSE)</f>
        <v>37798</v>
      </c>
      <c r="C6" s="6">
        <f>VLOOKUP(A6,Actual_Revenue!A:G,4,FALSE)</f>
        <v>37798</v>
      </c>
      <c r="D6" s="6">
        <f t="shared" si="1"/>
        <v>0</v>
      </c>
      <c r="E6" s="7">
        <f t="shared" si="2"/>
        <v>0</v>
      </c>
      <c r="F6" s="6">
        <f>VLOOKUP(A6,Actual_Revenue!A:G,3,false)</f>
        <v>2801</v>
      </c>
      <c r="G6" s="6">
        <f>VLOOKUP(A6,Actual_Revenue!A:G,5,false)</f>
        <v>2801</v>
      </c>
      <c r="H6" s="6">
        <f t="shared" si="3"/>
        <v>0</v>
      </c>
      <c r="I6" s="5" t="str">
        <f t="shared" si="4"/>
        <v>MATCHED</v>
      </c>
      <c r="J6" s="5" t="str">
        <f>VLOOKUP(A6,Actual_Revenue!A:G,7,false)</f>
        <v/>
      </c>
    </row>
    <row r="7">
      <c r="A7" s="1" t="str">
        <f>LMS_Loan_Tape!A7</f>
        <v>LN-10006</v>
      </c>
      <c r="B7" s="6">
        <f>VLOOKUP(A7,Actual_Revenue!A:G,2,FALSE)</f>
        <v>239109</v>
      </c>
      <c r="C7" s="6">
        <f>VLOOKUP(A7,Actual_Revenue!A:G,4,FALSE)</f>
        <v>239109</v>
      </c>
      <c r="D7" s="6">
        <f t="shared" si="1"/>
        <v>0</v>
      </c>
      <c r="E7" s="7">
        <f t="shared" si="2"/>
        <v>0</v>
      </c>
      <c r="F7" s="6">
        <f>VLOOKUP(A7,Actual_Revenue!A:G,3,false)</f>
        <v>45022</v>
      </c>
      <c r="G7" s="6">
        <f>VLOOKUP(A7,Actual_Revenue!A:G,5,false)</f>
        <v>45022</v>
      </c>
      <c r="H7" s="6">
        <f t="shared" si="3"/>
        <v>0</v>
      </c>
      <c r="I7" s="5" t="str">
        <f t="shared" si="4"/>
        <v>MATCHED</v>
      </c>
      <c r="J7" s="5" t="str">
        <f>VLOOKUP(A7,Actual_Revenue!A:G,7,false)</f>
        <v/>
      </c>
    </row>
    <row r="8">
      <c r="A8" s="1" t="str">
        <f>LMS_Loan_Tape!A8</f>
        <v>LN-10007</v>
      </c>
      <c r="B8" s="6">
        <f>VLOOKUP(A8,Actual_Revenue!A:G,2,FALSE)</f>
        <v>29861</v>
      </c>
      <c r="C8" s="6">
        <f>VLOOKUP(A8,Actual_Revenue!A:G,4,FALSE)</f>
        <v>29861</v>
      </c>
      <c r="D8" s="6">
        <f t="shared" si="1"/>
        <v>0</v>
      </c>
      <c r="E8" s="7">
        <f t="shared" si="2"/>
        <v>0</v>
      </c>
      <c r="F8" s="6">
        <f>VLOOKUP(A8,Actual_Revenue!A:G,3,false)</f>
        <v>4583</v>
      </c>
      <c r="G8" s="6">
        <f>VLOOKUP(A8,Actual_Revenue!A:G,5,false)</f>
        <v>4583</v>
      </c>
      <c r="H8" s="6">
        <f t="shared" si="3"/>
        <v>0</v>
      </c>
      <c r="I8" s="5" t="str">
        <f t="shared" si="4"/>
        <v>MATCHED</v>
      </c>
      <c r="J8" s="5" t="str">
        <f>VLOOKUP(A8,Actual_Revenue!A:G,7,false)</f>
        <v/>
      </c>
    </row>
    <row r="9">
      <c r="A9" s="1" t="str">
        <f>LMS_Loan_Tape!A9</f>
        <v>LN-10008</v>
      </c>
      <c r="B9" s="6">
        <f>VLOOKUP(A9,Actual_Revenue!A:G,2,FALSE)</f>
        <v>187426</v>
      </c>
      <c r="C9" s="6">
        <f>VLOOKUP(A9,Actual_Revenue!A:G,4,FALSE)</f>
        <v>112455</v>
      </c>
      <c r="D9" s="6">
        <f t="shared" si="1"/>
        <v>74971</v>
      </c>
      <c r="E9" s="7">
        <f t="shared" si="2"/>
        <v>0.4000032013</v>
      </c>
      <c r="F9" s="6">
        <f>VLOOKUP(A9,Actual_Revenue!A:G,3,false)</f>
        <v>28021</v>
      </c>
      <c r="G9" s="6">
        <f>VLOOKUP(A9,Actual_Revenue!A:G,5,false)</f>
        <v>28021</v>
      </c>
      <c r="H9" s="6">
        <f t="shared" si="3"/>
        <v>0</v>
      </c>
      <c r="I9" s="5" t="str">
        <f t="shared" si="4"/>
        <v>EXCEPTION</v>
      </c>
      <c r="J9" s="5" t="str">
        <f>VLOOKUP(A9,Actual_Revenue!A:G,7,false)</f>
        <v>Partial Payment</v>
      </c>
    </row>
    <row r="10">
      <c r="A10" s="1" t="str">
        <f>LMS_Loan_Tape!A10</f>
        <v>LN-10009</v>
      </c>
      <c r="B10" s="6">
        <f>VLOOKUP(A10,Actual_Revenue!A:G,2,FALSE)</f>
        <v>103992</v>
      </c>
      <c r="C10" s="6">
        <f>VLOOKUP(A10,Actual_Revenue!A:G,4,FALSE)</f>
        <v>103992</v>
      </c>
      <c r="D10" s="6">
        <f t="shared" si="1"/>
        <v>0</v>
      </c>
      <c r="E10" s="7">
        <f t="shared" si="2"/>
        <v>0</v>
      </c>
      <c r="F10" s="6">
        <f>VLOOKUP(A10,Actual_Revenue!A:G,3,false)</f>
        <v>34379</v>
      </c>
      <c r="G10" s="6">
        <f>VLOOKUP(A10,Actual_Revenue!A:G,5,false)</f>
        <v>34379</v>
      </c>
      <c r="H10" s="6">
        <f t="shared" si="3"/>
        <v>0</v>
      </c>
      <c r="I10" s="5" t="str">
        <f t="shared" si="4"/>
        <v>MATCHED</v>
      </c>
      <c r="J10" s="5" t="str">
        <f>VLOOKUP(A10,Actual_Revenue!A:G,7,false)</f>
        <v/>
      </c>
    </row>
    <row r="11">
      <c r="A11" s="1" t="str">
        <f>LMS_Loan_Tape!A11</f>
        <v>LN-10010</v>
      </c>
      <c r="B11" s="6">
        <f>VLOOKUP(A11,Actual_Revenue!A:G,2,FALSE)</f>
        <v>230169</v>
      </c>
      <c r="C11" s="6">
        <f>VLOOKUP(A11,Actual_Revenue!A:G,4,FALSE)</f>
        <v>230169</v>
      </c>
      <c r="D11" s="6">
        <f t="shared" si="1"/>
        <v>0</v>
      </c>
      <c r="E11" s="7">
        <f t="shared" si="2"/>
        <v>0</v>
      </c>
      <c r="F11" s="6">
        <f>VLOOKUP(A11,Actual_Revenue!A:G,3,false)</f>
        <v>31790</v>
      </c>
      <c r="G11" s="6">
        <f>VLOOKUP(A11,Actual_Revenue!A:G,5,false)</f>
        <v>31790</v>
      </c>
      <c r="H11" s="6">
        <f t="shared" si="3"/>
        <v>0</v>
      </c>
      <c r="I11" s="5" t="str">
        <f t="shared" si="4"/>
        <v>MATCHED</v>
      </c>
      <c r="J11" s="5" t="str">
        <f>VLOOKUP(A11,Actual_Revenue!A:G,7,false)</f>
        <v/>
      </c>
    </row>
    <row r="12">
      <c r="A12" s="1" t="str">
        <f>LMS_Loan_Tape!A12</f>
        <v>LN-10011</v>
      </c>
      <c r="B12" s="6">
        <f>VLOOKUP(A12,Actual_Revenue!A:G,2,FALSE)</f>
        <v>319543</v>
      </c>
      <c r="C12" s="6">
        <f>VLOOKUP(A12,Actual_Revenue!A:G,4,FALSE)</f>
        <v>335520</v>
      </c>
      <c r="D12" s="6">
        <f t="shared" si="1"/>
        <v>-15977</v>
      </c>
      <c r="E12" s="7">
        <f t="shared" si="2"/>
        <v>-0.04999953058</v>
      </c>
      <c r="F12" s="6">
        <f>VLOOKUP(A12,Actual_Revenue!A:G,3,false)</f>
        <v>44197</v>
      </c>
      <c r="G12" s="6">
        <f>VLOOKUP(A12,Actual_Revenue!A:G,5,false)</f>
        <v>44197</v>
      </c>
      <c r="H12" s="6">
        <f t="shared" si="3"/>
        <v>0</v>
      </c>
      <c r="I12" s="5" t="str">
        <f t="shared" si="4"/>
        <v>EXCEPTION</v>
      </c>
      <c r="J12" s="5" t="str">
        <f>VLOOKUP(A12,Actual_Revenue!A:G,7,false)</f>
        <v>Rate Change</v>
      </c>
    </row>
    <row r="13">
      <c r="A13" s="1" t="str">
        <f>LMS_Loan_Tape!A13</f>
        <v>LN-10012</v>
      </c>
      <c r="B13" s="6">
        <f>VLOOKUP(A13,Actual_Revenue!A:G,2,FALSE)</f>
        <v>13108</v>
      </c>
      <c r="C13" s="6">
        <f>VLOOKUP(A13,Actual_Revenue!A:G,4,FALSE)</f>
        <v>13108</v>
      </c>
      <c r="D13" s="6">
        <f t="shared" si="1"/>
        <v>0</v>
      </c>
      <c r="E13" s="7">
        <f t="shared" si="2"/>
        <v>0</v>
      </c>
      <c r="F13" s="6">
        <f>VLOOKUP(A13,Actual_Revenue!A:G,3,false)</f>
        <v>3158</v>
      </c>
      <c r="G13" s="6">
        <f>VLOOKUP(A13,Actual_Revenue!A:G,5,false)</f>
        <v>3158</v>
      </c>
      <c r="H13" s="6">
        <f t="shared" si="3"/>
        <v>0</v>
      </c>
      <c r="I13" s="5" t="str">
        <f t="shared" si="4"/>
        <v>MATCHED</v>
      </c>
      <c r="J13" s="5" t="str">
        <f>VLOOKUP(A13,Actual_Revenue!A:G,7,false)</f>
        <v/>
      </c>
    </row>
    <row r="14">
      <c r="A14" s="1" t="str">
        <f>LMS_Loan_Tape!A14</f>
        <v>LN-10013</v>
      </c>
      <c r="B14" s="6">
        <f>VLOOKUP(A14,Actual_Revenue!A:G,2,FALSE)</f>
        <v>99978</v>
      </c>
      <c r="C14" s="6">
        <f>VLOOKUP(A14,Actual_Revenue!A:G,4,FALSE)</f>
        <v>79982</v>
      </c>
      <c r="D14" s="6">
        <f t="shared" si="1"/>
        <v>19996</v>
      </c>
      <c r="E14" s="7">
        <f t="shared" si="2"/>
        <v>0.2000040009</v>
      </c>
      <c r="F14" s="6">
        <f>VLOOKUP(A14,Actual_Revenue!A:G,3,false)</f>
        <v>7766</v>
      </c>
      <c r="G14" s="6">
        <f>VLOOKUP(A14,Actual_Revenue!A:G,5,false)</f>
        <v>7766</v>
      </c>
      <c r="H14" s="6">
        <f t="shared" si="3"/>
        <v>0</v>
      </c>
      <c r="I14" s="5" t="str">
        <f t="shared" si="4"/>
        <v>EXCEPTION</v>
      </c>
      <c r="J14" s="5" t="str">
        <f>VLOOKUP(A14,Actual_Revenue!A:G,7,false)</f>
        <v>Prepayment</v>
      </c>
    </row>
    <row r="15">
      <c r="A15" s="1" t="str">
        <f>LMS_Loan_Tape!A15</f>
        <v>LN-10014</v>
      </c>
      <c r="B15" s="6">
        <f>VLOOKUP(A15,Actual_Revenue!A:G,2,FALSE)</f>
        <v>24454</v>
      </c>
      <c r="C15" s="6">
        <f>VLOOKUP(A15,Actual_Revenue!A:G,4,FALSE)</f>
        <v>24454</v>
      </c>
      <c r="D15" s="6">
        <f t="shared" si="1"/>
        <v>0</v>
      </c>
      <c r="E15" s="7">
        <f t="shared" si="2"/>
        <v>0</v>
      </c>
      <c r="F15" s="6">
        <f>VLOOKUP(A15,Actual_Revenue!A:G,3,false)</f>
        <v>11423</v>
      </c>
      <c r="G15" s="6">
        <f>VLOOKUP(A15,Actual_Revenue!A:G,5,false)</f>
        <v>11423</v>
      </c>
      <c r="H15" s="6">
        <f t="shared" si="3"/>
        <v>0</v>
      </c>
      <c r="I15" s="5" t="str">
        <f t="shared" si="4"/>
        <v>MATCHED</v>
      </c>
      <c r="J15" s="5" t="str">
        <f>VLOOKUP(A15,Actual_Revenue!A:G,7,false)</f>
        <v/>
      </c>
    </row>
    <row r="16">
      <c r="A16" s="1" t="str">
        <f>LMS_Loan_Tape!A16</f>
        <v>LN-10015</v>
      </c>
      <c r="B16" s="6">
        <f>VLOOKUP(A16,Actual_Revenue!A:G,2,FALSE)</f>
        <v>214052</v>
      </c>
      <c r="C16" s="6">
        <f>VLOOKUP(A16,Actual_Revenue!A:G,4,FALSE)</f>
        <v>214052</v>
      </c>
      <c r="D16" s="6">
        <f t="shared" si="1"/>
        <v>0</v>
      </c>
      <c r="E16" s="7">
        <f t="shared" si="2"/>
        <v>0</v>
      </c>
      <c r="F16" s="6">
        <f>VLOOKUP(A16,Actual_Revenue!A:G,3,false)</f>
        <v>18188</v>
      </c>
      <c r="G16" s="6">
        <f>VLOOKUP(A16,Actual_Revenue!A:G,5,false)</f>
        <v>18006</v>
      </c>
      <c r="H16" s="6">
        <f t="shared" si="3"/>
        <v>182</v>
      </c>
      <c r="I16" s="5" t="str">
        <f t="shared" si="4"/>
        <v>EXCEPTION</v>
      </c>
      <c r="J16" s="5" t="str">
        <f>VLOOKUP(A16,Actual_Revenue!A:G,7,false)</f>
        <v/>
      </c>
    </row>
    <row r="17">
      <c r="A17" s="1" t="str">
        <f>LMS_Loan_Tape!A17</f>
        <v>LN-10016</v>
      </c>
      <c r="B17" s="6">
        <f>VLOOKUP(A17,Actual_Revenue!A:G,2,FALSE)</f>
        <v>39348</v>
      </c>
      <c r="C17" s="6">
        <f>VLOOKUP(A17,Actual_Revenue!A:G,4,FALSE)</f>
        <v>39348</v>
      </c>
      <c r="D17" s="6">
        <f t="shared" si="1"/>
        <v>0</v>
      </c>
      <c r="E17" s="7">
        <f t="shared" si="2"/>
        <v>0</v>
      </c>
      <c r="F17" s="6">
        <f>VLOOKUP(A17,Actual_Revenue!A:G,3,false)</f>
        <v>50359</v>
      </c>
      <c r="G17" s="6">
        <f>VLOOKUP(A17,Actual_Revenue!A:G,5,false)</f>
        <v>50359</v>
      </c>
      <c r="H17" s="6">
        <f t="shared" si="3"/>
        <v>0</v>
      </c>
      <c r="I17" s="5" t="str">
        <f t="shared" si="4"/>
        <v>MATCHED</v>
      </c>
      <c r="J17" s="5" t="str">
        <f>VLOOKUP(A17,Actual_Revenue!A:G,7,false)</f>
        <v/>
      </c>
    </row>
    <row r="18">
      <c r="A18" s="1" t="str">
        <f>LMS_Loan_Tape!A18</f>
        <v>LN-10017</v>
      </c>
      <c r="B18" s="6">
        <f>VLOOKUP(A18,Actual_Revenue!A:G,2,FALSE)</f>
        <v>123653</v>
      </c>
      <c r="C18" s="6">
        <f>VLOOKUP(A18,Actual_Revenue!A:G,4,FALSE)</f>
        <v>123653</v>
      </c>
      <c r="D18" s="6">
        <f t="shared" si="1"/>
        <v>0</v>
      </c>
      <c r="E18" s="7">
        <f t="shared" si="2"/>
        <v>0</v>
      </c>
      <c r="F18" s="6">
        <f>VLOOKUP(A18,Actual_Revenue!A:G,3,false)</f>
        <v>22061</v>
      </c>
      <c r="G18" s="6">
        <f>VLOOKUP(A18,Actual_Revenue!A:G,5,false)</f>
        <v>22061</v>
      </c>
      <c r="H18" s="6">
        <f t="shared" si="3"/>
        <v>0</v>
      </c>
      <c r="I18" s="5" t="str">
        <f t="shared" si="4"/>
        <v>MATCHED</v>
      </c>
      <c r="J18" s="5" t="str">
        <f>VLOOKUP(A18,Actual_Revenue!A:G,7,false)</f>
        <v/>
      </c>
    </row>
    <row r="19">
      <c r="A19" s="1" t="str">
        <f>LMS_Loan_Tape!A19</f>
        <v>LN-10018</v>
      </c>
      <c r="B19" s="6">
        <f>VLOOKUP(A19,Actual_Revenue!A:G,2,FALSE)</f>
        <v>250333</v>
      </c>
      <c r="C19" s="6">
        <f>VLOOKUP(A19,Actual_Revenue!A:G,4,FALSE)</f>
        <v>245326</v>
      </c>
      <c r="D19" s="6">
        <f t="shared" si="1"/>
        <v>5007</v>
      </c>
      <c r="E19" s="7">
        <f t="shared" si="2"/>
        <v>0.02000135819</v>
      </c>
      <c r="F19" s="6">
        <f>VLOOKUP(A19,Actual_Revenue!A:G,3,false)</f>
        <v>28741</v>
      </c>
      <c r="G19" s="6">
        <f>VLOOKUP(A19,Actual_Revenue!A:G,5,false)</f>
        <v>28741</v>
      </c>
      <c r="H19" s="6">
        <f t="shared" si="3"/>
        <v>0</v>
      </c>
      <c r="I19" s="5" t="str">
        <f t="shared" si="4"/>
        <v>EXCEPTION</v>
      </c>
      <c r="J19" s="5" t="str">
        <f>VLOOKUP(A19,Actual_Revenue!A:G,7,false)</f>
        <v/>
      </c>
    </row>
    <row r="20">
      <c r="A20" s="1" t="str">
        <f>LMS_Loan_Tape!A20</f>
        <v>LN-10019</v>
      </c>
      <c r="B20" s="6">
        <f>VLOOKUP(A20,Actual_Revenue!A:G,2,FALSE)</f>
        <v>4129</v>
      </c>
      <c r="C20" s="6">
        <f>VLOOKUP(A20,Actual_Revenue!A:G,4,FALSE)</f>
        <v>4129</v>
      </c>
      <c r="D20" s="6">
        <f t="shared" si="1"/>
        <v>0</v>
      </c>
      <c r="E20" s="7">
        <f t="shared" si="2"/>
        <v>0</v>
      </c>
      <c r="F20" s="6">
        <f>VLOOKUP(A20,Actual_Revenue!A:G,3,false)</f>
        <v>6319</v>
      </c>
      <c r="G20" s="6">
        <f>VLOOKUP(A20,Actual_Revenue!A:G,5,false)</f>
        <v>6319</v>
      </c>
      <c r="H20" s="6">
        <f t="shared" si="3"/>
        <v>0</v>
      </c>
      <c r="I20" s="5" t="str">
        <f t="shared" si="4"/>
        <v>MATCHED</v>
      </c>
      <c r="J20" s="5" t="str">
        <f>VLOOKUP(A20,Actual_Revenue!A:G,7,false)</f>
        <v/>
      </c>
    </row>
    <row r="21">
      <c r="A21" s="1" t="str">
        <f>LMS_Loan_Tape!A21</f>
        <v>LN-10020</v>
      </c>
      <c r="B21" s="6">
        <f>VLOOKUP(A21,Actual_Revenue!A:G,2,FALSE)</f>
        <v>85614</v>
      </c>
      <c r="C21" s="6">
        <f>VLOOKUP(A21,Actual_Revenue!A:G,4,FALSE)</f>
        <v>85614</v>
      </c>
      <c r="D21" s="6">
        <f t="shared" si="1"/>
        <v>0</v>
      </c>
      <c r="E21" s="7">
        <f t="shared" si="2"/>
        <v>0</v>
      </c>
      <c r="F21" s="6">
        <f>VLOOKUP(A21,Actual_Revenue!A:G,3,false)</f>
        <v>6214</v>
      </c>
      <c r="G21" s="6">
        <f>VLOOKUP(A21,Actual_Revenue!A:G,5,false)</f>
        <v>6214</v>
      </c>
      <c r="H21" s="6">
        <f t="shared" si="3"/>
        <v>0</v>
      </c>
      <c r="I21" s="5" t="str">
        <f t="shared" si="4"/>
        <v>MATCHED</v>
      </c>
      <c r="J21" s="5" t="str">
        <f>VLOOKUP(A21,Actual_Revenue!A:G,7,false)</f>
        <v/>
      </c>
    </row>
    <row r="22">
      <c r="A22" s="1" t="str">
        <f>LMS_Loan_Tape!A22</f>
        <v>LN-10021</v>
      </c>
      <c r="B22" s="6">
        <f>VLOOKUP(A22,Actual_Revenue!A:G,2,FALSE)</f>
        <v>142107</v>
      </c>
      <c r="C22" s="6">
        <f>VLOOKUP(A22,Actual_Revenue!A:G,4,FALSE)</f>
        <v>142107</v>
      </c>
      <c r="D22" s="6">
        <f t="shared" si="1"/>
        <v>0</v>
      </c>
      <c r="E22" s="7">
        <f t="shared" si="2"/>
        <v>0</v>
      </c>
      <c r="F22" s="6">
        <f>VLOOKUP(A22,Actual_Revenue!A:G,3,false)</f>
        <v>15153</v>
      </c>
      <c r="G22" s="6">
        <f>VLOOKUP(A22,Actual_Revenue!A:G,5,false)</f>
        <v>15153</v>
      </c>
      <c r="H22" s="6">
        <f t="shared" si="3"/>
        <v>0</v>
      </c>
      <c r="I22" s="5" t="str">
        <f t="shared" si="4"/>
        <v>MATCHED</v>
      </c>
      <c r="J22" s="5" t="str">
        <f>VLOOKUP(A22,Actual_Revenue!A:G,7,false)</f>
        <v/>
      </c>
    </row>
    <row r="23">
      <c r="A23" s="1" t="str">
        <f>LMS_Loan_Tape!A23</f>
        <v>LN-10022</v>
      </c>
      <c r="B23" s="6">
        <f>VLOOKUP(A23,Actual_Revenue!A:G,2,FALSE)</f>
        <v>234424</v>
      </c>
      <c r="C23" s="6">
        <f>VLOOKUP(A23,Actual_Revenue!A:G,4,FALSE)</f>
        <v>234424</v>
      </c>
      <c r="D23" s="6">
        <f t="shared" si="1"/>
        <v>0</v>
      </c>
      <c r="E23" s="7">
        <f t="shared" si="2"/>
        <v>0</v>
      </c>
      <c r="F23" s="6">
        <f>VLOOKUP(A23,Actual_Revenue!A:G,3,false)</f>
        <v>46764</v>
      </c>
      <c r="G23" s="6">
        <f>VLOOKUP(A23,Actual_Revenue!A:G,5,false)</f>
        <v>46764</v>
      </c>
      <c r="H23" s="6">
        <f t="shared" si="3"/>
        <v>0</v>
      </c>
      <c r="I23" s="5" t="str">
        <f t="shared" si="4"/>
        <v>MATCHED</v>
      </c>
      <c r="J23" s="5" t="str">
        <f>VLOOKUP(A23,Actual_Revenue!A:G,7,false)</f>
        <v/>
      </c>
    </row>
    <row r="24">
      <c r="A24" s="1" t="str">
        <f>LMS_Loan_Tape!A24</f>
        <v>LN-10023</v>
      </c>
      <c r="B24" s="6">
        <f>VLOOKUP(A24,Actual_Revenue!A:G,2,FALSE)</f>
        <v>127873</v>
      </c>
      <c r="C24" s="6">
        <f>VLOOKUP(A24,Actual_Revenue!A:G,4,FALSE)</f>
        <v>127873</v>
      </c>
      <c r="D24" s="6">
        <f t="shared" si="1"/>
        <v>0</v>
      </c>
      <c r="E24" s="7">
        <f t="shared" si="2"/>
        <v>0</v>
      </c>
      <c r="F24" s="6">
        <f>VLOOKUP(A24,Actual_Revenue!A:G,3,false)</f>
        <v>34584</v>
      </c>
      <c r="G24" s="6">
        <f>VLOOKUP(A24,Actual_Revenue!A:G,5,false)</f>
        <v>34584</v>
      </c>
      <c r="H24" s="6">
        <f t="shared" si="3"/>
        <v>0</v>
      </c>
      <c r="I24" s="5" t="str">
        <f t="shared" si="4"/>
        <v>MATCHED</v>
      </c>
      <c r="J24" s="5" t="str">
        <f>VLOOKUP(A24,Actual_Revenue!A:G,7,false)</f>
        <v/>
      </c>
    </row>
    <row r="25">
      <c r="A25" s="1" t="str">
        <f>LMS_Loan_Tape!A25</f>
        <v>LN-10024</v>
      </c>
      <c r="B25" s="6">
        <f>VLOOKUP(A25,Actual_Revenue!A:G,2,FALSE)</f>
        <v>12976</v>
      </c>
      <c r="C25" s="6">
        <f>VLOOKUP(A25,Actual_Revenue!A:G,4,FALSE)</f>
        <v>12976</v>
      </c>
      <c r="D25" s="6">
        <f t="shared" si="1"/>
        <v>0</v>
      </c>
      <c r="E25" s="7">
        <f t="shared" si="2"/>
        <v>0</v>
      </c>
      <c r="F25" s="6">
        <f>VLOOKUP(A25,Actual_Revenue!A:G,3,false)</f>
        <v>2181</v>
      </c>
      <c r="G25" s="6">
        <f>VLOOKUP(A25,Actual_Revenue!A:G,5,false)</f>
        <v>2181</v>
      </c>
      <c r="H25" s="6">
        <f t="shared" si="3"/>
        <v>0</v>
      </c>
      <c r="I25" s="5" t="str">
        <f t="shared" si="4"/>
        <v>MATCHED</v>
      </c>
      <c r="J25" s="5" t="str">
        <f>VLOOKUP(A25,Actual_Revenue!A:G,7,false)</f>
        <v/>
      </c>
    </row>
    <row r="26">
      <c r="A26" s="1" t="str">
        <f>LMS_Loan_Tape!A26</f>
        <v>LN-10025</v>
      </c>
      <c r="B26" s="6">
        <f>VLOOKUP(A26,Actual_Revenue!A:G,2,FALSE)</f>
        <v>191863</v>
      </c>
      <c r="C26" s="6">
        <f>VLOOKUP(A26,Actual_Revenue!A:G,4,FALSE)</f>
        <v>191863</v>
      </c>
      <c r="D26" s="6">
        <f t="shared" si="1"/>
        <v>0</v>
      </c>
      <c r="E26" s="7">
        <f t="shared" si="2"/>
        <v>0</v>
      </c>
      <c r="F26" s="6">
        <f>VLOOKUP(A26,Actual_Revenue!A:G,3,false)</f>
        <v>42905</v>
      </c>
      <c r="G26" s="6">
        <f>VLOOKUP(A26,Actual_Revenue!A:G,5,false)</f>
        <v>42905</v>
      </c>
      <c r="H26" s="6">
        <f t="shared" si="3"/>
        <v>0</v>
      </c>
      <c r="I26" s="5" t="str">
        <f t="shared" si="4"/>
        <v>MATCHED</v>
      </c>
      <c r="J26" s="5" t="str">
        <f>VLOOKUP(A26,Actual_Revenue!A:G,7,false)</f>
        <v/>
      </c>
    </row>
    <row r="27">
      <c r="A27" s="1" t="str">
        <f>LMS_Loan_Tape!A27</f>
        <v>LN-10026</v>
      </c>
      <c r="B27" s="6">
        <f>VLOOKUP(A27,Actual_Revenue!A:G,2,FALSE)</f>
        <v>95442</v>
      </c>
      <c r="C27" s="6">
        <f>VLOOKUP(A27,Actual_Revenue!A:G,4,FALSE)</f>
        <v>100214</v>
      </c>
      <c r="D27" s="6">
        <f t="shared" si="1"/>
        <v>-4772</v>
      </c>
      <c r="E27" s="7">
        <f t="shared" si="2"/>
        <v>-0.04999895224</v>
      </c>
      <c r="F27" s="6">
        <f>VLOOKUP(A27,Actual_Revenue!A:G,3,false)</f>
        <v>46122</v>
      </c>
      <c r="G27" s="6">
        <f>VLOOKUP(A27,Actual_Revenue!A:G,5,false)</f>
        <v>46122</v>
      </c>
      <c r="H27" s="6">
        <f t="shared" si="3"/>
        <v>0</v>
      </c>
      <c r="I27" s="5" t="str">
        <f t="shared" si="4"/>
        <v>EXCEPTION</v>
      </c>
      <c r="J27" s="5" t="str">
        <f>VLOOKUP(A27,Actual_Revenue!A:G,7,false)</f>
        <v>Rate Change</v>
      </c>
    </row>
    <row r="28">
      <c r="A28" s="1" t="str">
        <f>LMS_Loan_Tape!A28</f>
        <v>LN-10027</v>
      </c>
      <c r="B28" s="6">
        <f>VLOOKUP(A28,Actual_Revenue!A:G,2,FALSE)</f>
        <v>47945</v>
      </c>
      <c r="C28" s="6">
        <f>VLOOKUP(A28,Actual_Revenue!A:G,4,FALSE)</f>
        <v>28767</v>
      </c>
      <c r="D28" s="6">
        <f t="shared" si="1"/>
        <v>19178</v>
      </c>
      <c r="E28" s="7">
        <f t="shared" si="2"/>
        <v>0.4</v>
      </c>
      <c r="F28" s="6">
        <f>VLOOKUP(A28,Actual_Revenue!A:G,3,false)</f>
        <v>23778</v>
      </c>
      <c r="G28" s="6">
        <f>VLOOKUP(A28,Actual_Revenue!A:G,5,false)</f>
        <v>23778</v>
      </c>
      <c r="H28" s="6">
        <f t="shared" si="3"/>
        <v>0</v>
      </c>
      <c r="I28" s="5" t="str">
        <f t="shared" si="4"/>
        <v>EXCEPTION</v>
      </c>
      <c r="J28" s="5" t="str">
        <f>VLOOKUP(A28,Actual_Revenue!A:G,7,false)</f>
        <v>Partial Payment</v>
      </c>
    </row>
    <row r="29">
      <c r="A29" s="1" t="str">
        <f>LMS_Loan_Tape!A29</f>
        <v>LN-10028</v>
      </c>
      <c r="B29" s="6">
        <f>VLOOKUP(A29,Actual_Revenue!A:G,2,FALSE)</f>
        <v>294286</v>
      </c>
      <c r="C29" s="6">
        <f>VLOOKUP(A29,Actual_Revenue!A:G,4,FALSE)</f>
        <v>294286</v>
      </c>
      <c r="D29" s="6">
        <f t="shared" si="1"/>
        <v>0</v>
      </c>
      <c r="E29" s="7">
        <f t="shared" si="2"/>
        <v>0</v>
      </c>
      <c r="F29" s="6">
        <f>VLOOKUP(A29,Actual_Revenue!A:G,3,false)</f>
        <v>20065</v>
      </c>
      <c r="G29" s="6">
        <f>VLOOKUP(A29,Actual_Revenue!A:G,5,false)</f>
        <v>20065</v>
      </c>
      <c r="H29" s="6">
        <f t="shared" si="3"/>
        <v>0</v>
      </c>
      <c r="I29" s="5" t="str">
        <f t="shared" si="4"/>
        <v>MATCHED</v>
      </c>
      <c r="J29" s="5" t="str">
        <f>VLOOKUP(A29,Actual_Revenue!A:G,7,false)</f>
        <v/>
      </c>
    </row>
    <row r="30">
      <c r="A30" s="1" t="str">
        <f>LMS_Loan_Tape!A30</f>
        <v>LN-10029</v>
      </c>
      <c r="B30" s="6">
        <f>VLOOKUP(A30,Actual_Revenue!A:G,2,FALSE)</f>
        <v>79494</v>
      </c>
      <c r="C30" s="6">
        <f>VLOOKUP(A30,Actual_Revenue!A:G,4,FALSE)</f>
        <v>79494</v>
      </c>
      <c r="D30" s="6">
        <f t="shared" si="1"/>
        <v>0</v>
      </c>
      <c r="E30" s="7">
        <f t="shared" si="2"/>
        <v>0</v>
      </c>
      <c r="F30" s="6">
        <f>VLOOKUP(A30,Actual_Revenue!A:G,3,false)</f>
        <v>15919</v>
      </c>
      <c r="G30" s="6">
        <f>VLOOKUP(A30,Actual_Revenue!A:G,5,false)</f>
        <v>15919</v>
      </c>
      <c r="H30" s="6">
        <f t="shared" si="3"/>
        <v>0</v>
      </c>
      <c r="I30" s="5" t="str">
        <f t="shared" si="4"/>
        <v>MATCHED</v>
      </c>
      <c r="J30" s="5" t="str">
        <f>VLOOKUP(A30,Actual_Revenue!A:G,7,false)</f>
        <v/>
      </c>
    </row>
    <row r="31">
      <c r="A31" s="1" t="str">
        <f>LMS_Loan_Tape!A31</f>
        <v>LN-10030</v>
      </c>
      <c r="B31" s="6">
        <f>VLOOKUP(A31,Actual_Revenue!A:G,2,FALSE)</f>
        <v>268974</v>
      </c>
      <c r="C31" s="6">
        <f>VLOOKUP(A31,Actual_Revenue!A:G,4,FALSE)</f>
        <v>268974</v>
      </c>
      <c r="D31" s="6">
        <f t="shared" si="1"/>
        <v>0</v>
      </c>
      <c r="E31" s="7">
        <f t="shared" si="2"/>
        <v>0</v>
      </c>
      <c r="F31" s="6">
        <f>VLOOKUP(A31,Actual_Revenue!A:G,3,false)</f>
        <v>46733</v>
      </c>
      <c r="G31" s="6">
        <f>VLOOKUP(A31,Actual_Revenue!A:G,5,false)</f>
        <v>46733</v>
      </c>
      <c r="H31" s="6">
        <f t="shared" si="3"/>
        <v>0</v>
      </c>
      <c r="I31" s="5" t="str">
        <f t="shared" si="4"/>
        <v>MATCHED</v>
      </c>
      <c r="J31" s="5" t="str">
        <f>VLOOKUP(A31,Actual_Revenue!A:G,7,false)</f>
        <v/>
      </c>
    </row>
    <row r="32">
      <c r="A32" s="1" t="str">
        <f>LMS_Loan_Tape!A32</f>
        <v>LN-10031</v>
      </c>
      <c r="B32" s="6">
        <f>VLOOKUP(A32,Actual_Revenue!A:G,2,FALSE)</f>
        <v>179880</v>
      </c>
      <c r="C32" s="6">
        <f>VLOOKUP(A32,Actual_Revenue!A:G,4,FALSE)</f>
        <v>179880</v>
      </c>
      <c r="D32" s="6">
        <f t="shared" si="1"/>
        <v>0</v>
      </c>
      <c r="E32" s="7">
        <f t="shared" si="2"/>
        <v>0</v>
      </c>
      <c r="F32" s="6">
        <f>VLOOKUP(A32,Actual_Revenue!A:G,3,false)</f>
        <v>26239</v>
      </c>
      <c r="G32" s="6">
        <f>VLOOKUP(A32,Actual_Revenue!A:G,5,false)</f>
        <v>26239</v>
      </c>
      <c r="H32" s="6">
        <f t="shared" si="3"/>
        <v>0</v>
      </c>
      <c r="I32" s="5" t="str">
        <f t="shared" si="4"/>
        <v>MATCHED</v>
      </c>
      <c r="J32" s="5" t="str">
        <f>VLOOKUP(A32,Actual_Revenue!A:G,7,false)</f>
        <v/>
      </c>
    </row>
    <row r="33">
      <c r="A33" s="1" t="str">
        <f>LMS_Loan_Tape!A33</f>
        <v>LN-10032</v>
      </c>
      <c r="B33" s="6">
        <f>VLOOKUP(A33,Actual_Revenue!A:G,2,FALSE)</f>
        <v>11157</v>
      </c>
      <c r="C33" s="6">
        <f>VLOOKUP(A33,Actual_Revenue!A:G,4,FALSE)</f>
        <v>11157</v>
      </c>
      <c r="D33" s="6">
        <f t="shared" si="1"/>
        <v>0</v>
      </c>
      <c r="E33" s="7">
        <f t="shared" si="2"/>
        <v>0</v>
      </c>
      <c r="F33" s="6">
        <f>VLOOKUP(A33,Actual_Revenue!A:G,3,false)</f>
        <v>6020</v>
      </c>
      <c r="G33" s="6">
        <f>VLOOKUP(A33,Actual_Revenue!A:G,5,false)</f>
        <v>6020</v>
      </c>
      <c r="H33" s="6">
        <f t="shared" si="3"/>
        <v>0</v>
      </c>
      <c r="I33" s="5" t="str">
        <f t="shared" si="4"/>
        <v>MATCHED</v>
      </c>
      <c r="J33" s="5" t="str">
        <f>VLOOKUP(A33,Actual_Revenue!A:G,7,false)</f>
        <v/>
      </c>
    </row>
    <row r="34">
      <c r="A34" s="1" t="str">
        <f>LMS_Loan_Tape!A34</f>
        <v>LN-10033</v>
      </c>
      <c r="B34" s="6">
        <f>VLOOKUP(A34,Actual_Revenue!A:G,2,FALSE)</f>
        <v>52973</v>
      </c>
      <c r="C34" s="6">
        <f>VLOOKUP(A34,Actual_Revenue!A:G,4,FALSE)</f>
        <v>53324</v>
      </c>
      <c r="D34" s="6">
        <f t="shared" si="1"/>
        <v>-351</v>
      </c>
      <c r="E34" s="7">
        <f t="shared" si="2"/>
        <v>-0.006626017028</v>
      </c>
      <c r="F34" s="6">
        <f>VLOOKUP(A34,Actual_Revenue!A:G,3,false)</f>
        <v>7560</v>
      </c>
      <c r="G34" s="6">
        <f>VLOOKUP(A34,Actual_Revenue!A:G,5,false)</f>
        <v>7560</v>
      </c>
      <c r="H34" s="6">
        <f t="shared" si="3"/>
        <v>0</v>
      </c>
      <c r="I34" s="5" t="str">
        <f t="shared" si="4"/>
        <v>EXCEPTION</v>
      </c>
      <c r="J34" s="5" t="str">
        <f>VLOOKUP(A34,Actual_Revenue!A:G,7,false)</f>
        <v>System Error</v>
      </c>
    </row>
    <row r="35">
      <c r="A35" s="1" t="str">
        <f>LMS_Loan_Tape!A35</f>
        <v>LN-10034</v>
      </c>
      <c r="B35" s="6">
        <f>VLOOKUP(A35,Actual_Revenue!A:G,2,FALSE)</f>
        <v>343815</v>
      </c>
      <c r="C35" s="6">
        <f>VLOOKUP(A35,Actual_Revenue!A:G,4,FALSE)</f>
        <v>343815</v>
      </c>
      <c r="D35" s="6">
        <f t="shared" si="1"/>
        <v>0</v>
      </c>
      <c r="E35" s="7">
        <f t="shared" si="2"/>
        <v>0</v>
      </c>
      <c r="F35" s="6">
        <f>VLOOKUP(A35,Actual_Revenue!A:G,3,false)</f>
        <v>25582</v>
      </c>
      <c r="G35" s="6">
        <f>VLOOKUP(A35,Actual_Revenue!A:G,5,false)</f>
        <v>25582</v>
      </c>
      <c r="H35" s="6">
        <f t="shared" si="3"/>
        <v>0</v>
      </c>
      <c r="I35" s="5" t="str">
        <f t="shared" si="4"/>
        <v>MATCHED</v>
      </c>
      <c r="J35" s="5" t="str">
        <f>VLOOKUP(A35,Actual_Revenue!A:G,7,false)</f>
        <v/>
      </c>
    </row>
    <row r="36">
      <c r="A36" s="1" t="str">
        <f>LMS_Loan_Tape!A36</f>
        <v>LN-10035</v>
      </c>
      <c r="B36" s="6">
        <f>VLOOKUP(A36,Actual_Revenue!A:G,2,FALSE)</f>
        <v>185332</v>
      </c>
      <c r="C36" s="6">
        <f>VLOOKUP(A36,Actual_Revenue!A:G,4,FALSE)</f>
        <v>185332</v>
      </c>
      <c r="D36" s="6">
        <f t="shared" si="1"/>
        <v>0</v>
      </c>
      <c r="E36" s="7">
        <f t="shared" si="2"/>
        <v>0</v>
      </c>
      <c r="F36" s="6">
        <f>VLOOKUP(A36,Actual_Revenue!A:G,3,false)</f>
        <v>39414</v>
      </c>
      <c r="G36" s="6">
        <f>VLOOKUP(A36,Actual_Revenue!A:G,5,false)</f>
        <v>39414</v>
      </c>
      <c r="H36" s="6">
        <f t="shared" si="3"/>
        <v>0</v>
      </c>
      <c r="I36" s="5" t="str">
        <f t="shared" si="4"/>
        <v>MATCHED</v>
      </c>
      <c r="J36" s="5" t="str">
        <f>VLOOKUP(A36,Actual_Revenue!A:G,7,false)</f>
        <v/>
      </c>
    </row>
    <row r="37">
      <c r="A37" s="1" t="str">
        <f>LMS_Loan_Tape!A37</f>
        <v>LN-10036</v>
      </c>
      <c r="B37" s="6">
        <f>VLOOKUP(A37,Actual_Revenue!A:G,2,FALSE)</f>
        <v>36630</v>
      </c>
      <c r="C37" s="6">
        <f>VLOOKUP(A37,Actual_Revenue!A:G,4,FALSE)</f>
        <v>36630</v>
      </c>
      <c r="D37" s="6">
        <f t="shared" si="1"/>
        <v>0</v>
      </c>
      <c r="E37" s="7">
        <f t="shared" si="2"/>
        <v>0</v>
      </c>
      <c r="F37" s="6">
        <f>VLOOKUP(A37,Actual_Revenue!A:G,3,false)</f>
        <v>3817</v>
      </c>
      <c r="G37" s="6">
        <f>VLOOKUP(A37,Actual_Revenue!A:G,5,false)</f>
        <v>3817</v>
      </c>
      <c r="H37" s="6">
        <f t="shared" si="3"/>
        <v>0</v>
      </c>
      <c r="I37" s="5" t="str">
        <f t="shared" si="4"/>
        <v>MATCHED</v>
      </c>
      <c r="J37" s="5" t="str">
        <f>VLOOKUP(A37,Actual_Revenue!A:G,7,false)</f>
        <v/>
      </c>
    </row>
    <row r="38">
      <c r="A38" s="1" t="str">
        <f>LMS_Loan_Tape!A38</f>
        <v>LN-10037</v>
      </c>
      <c r="B38" s="6">
        <f>VLOOKUP(A38,Actual_Revenue!A:G,2,FALSE)</f>
        <v>5410</v>
      </c>
      <c r="C38" s="6">
        <f>VLOOKUP(A38,Actual_Revenue!A:G,4,FALSE)</f>
        <v>5410</v>
      </c>
      <c r="D38" s="6">
        <f t="shared" si="1"/>
        <v>0</v>
      </c>
      <c r="E38" s="7">
        <f t="shared" si="2"/>
        <v>0</v>
      </c>
      <c r="F38" s="6">
        <f>VLOOKUP(A38,Actual_Revenue!A:G,3,false)</f>
        <v>3526</v>
      </c>
      <c r="G38" s="6">
        <f>VLOOKUP(A38,Actual_Revenue!A:G,5,false)</f>
        <v>3490</v>
      </c>
      <c r="H38" s="6">
        <f t="shared" si="3"/>
        <v>36</v>
      </c>
      <c r="I38" s="5" t="str">
        <f t="shared" si="4"/>
        <v>EXCEPTION</v>
      </c>
      <c r="J38" s="5" t="str">
        <f>VLOOKUP(A38,Actual_Revenue!A:G,7,false)</f>
        <v/>
      </c>
    </row>
    <row r="39">
      <c r="A39" s="1" t="str">
        <f>LMS_Loan_Tape!A39</f>
        <v>LN-10038</v>
      </c>
      <c r="B39" s="6">
        <f>VLOOKUP(A39,Actual_Revenue!A:G,2,FALSE)</f>
        <v>26305</v>
      </c>
      <c r="C39" s="6">
        <f>VLOOKUP(A39,Actual_Revenue!A:G,4,FALSE)</f>
        <v>26305</v>
      </c>
      <c r="D39" s="6">
        <f t="shared" si="1"/>
        <v>0</v>
      </c>
      <c r="E39" s="7">
        <f t="shared" si="2"/>
        <v>0</v>
      </c>
      <c r="F39" s="6">
        <f>VLOOKUP(A39,Actual_Revenue!A:G,3,false)</f>
        <v>7083</v>
      </c>
      <c r="G39" s="6">
        <f>VLOOKUP(A39,Actual_Revenue!A:G,5,false)</f>
        <v>7083</v>
      </c>
      <c r="H39" s="6">
        <f t="shared" si="3"/>
        <v>0</v>
      </c>
      <c r="I39" s="5" t="str">
        <f t="shared" si="4"/>
        <v>MATCHED</v>
      </c>
      <c r="J39" s="5" t="str">
        <f>VLOOKUP(A39,Actual_Revenue!A:G,7,false)</f>
        <v/>
      </c>
    </row>
    <row r="40">
      <c r="A40" s="1" t="str">
        <f>LMS_Loan_Tape!A40</f>
        <v>LN-10039</v>
      </c>
      <c r="B40" s="6">
        <f>VLOOKUP(A40,Actual_Revenue!A:G,2,FALSE)</f>
        <v>209421</v>
      </c>
      <c r="C40" s="6">
        <f>VLOOKUP(A40,Actual_Revenue!A:G,4,FALSE)</f>
        <v>209421</v>
      </c>
      <c r="D40" s="6">
        <f t="shared" si="1"/>
        <v>0</v>
      </c>
      <c r="E40" s="7">
        <f t="shared" si="2"/>
        <v>0</v>
      </c>
      <c r="F40" s="6">
        <f>VLOOKUP(A40,Actual_Revenue!A:G,3,false)</f>
        <v>24678</v>
      </c>
      <c r="G40" s="6">
        <f>VLOOKUP(A40,Actual_Revenue!A:G,5,false)</f>
        <v>24678</v>
      </c>
      <c r="H40" s="6">
        <f t="shared" si="3"/>
        <v>0</v>
      </c>
      <c r="I40" s="5" t="str">
        <f t="shared" si="4"/>
        <v>MATCHED</v>
      </c>
      <c r="J40" s="5" t="str">
        <f>VLOOKUP(A40,Actual_Revenue!A:G,7,false)</f>
        <v/>
      </c>
    </row>
    <row r="41">
      <c r="A41" s="1" t="str">
        <f>LMS_Loan_Tape!A41</f>
        <v>LN-10040</v>
      </c>
      <c r="B41" s="6">
        <f>VLOOKUP(A41,Actual_Revenue!A:G,2,FALSE)</f>
        <v>36428</v>
      </c>
      <c r="C41" s="6">
        <f>VLOOKUP(A41,Actual_Revenue!A:G,4,FALSE)</f>
        <v>37193</v>
      </c>
      <c r="D41" s="6">
        <f t="shared" si="1"/>
        <v>-765</v>
      </c>
      <c r="E41" s="7">
        <f t="shared" si="2"/>
        <v>-0.02100032942</v>
      </c>
      <c r="F41" s="6">
        <f>VLOOKUP(A41,Actual_Revenue!A:G,3,false)</f>
        <v>45169</v>
      </c>
      <c r="G41" s="6">
        <f>VLOOKUP(A41,Actual_Revenue!A:G,5,false)</f>
        <v>45169</v>
      </c>
      <c r="H41" s="6">
        <f t="shared" si="3"/>
        <v>0</v>
      </c>
      <c r="I41" s="5" t="str">
        <f t="shared" si="4"/>
        <v>EXCEPTION</v>
      </c>
      <c r="J41" s="5" t="str">
        <f>VLOOKUP(A41,Actual_Revenue!A:G,7,false)</f>
        <v>System Error</v>
      </c>
    </row>
    <row r="42">
      <c r="A42" s="1" t="str">
        <f>LMS_Loan_Tape!A42</f>
        <v>LN-10041</v>
      </c>
      <c r="B42" s="6">
        <f>VLOOKUP(A42,Actual_Revenue!A:G,2,FALSE)</f>
        <v>9988</v>
      </c>
      <c r="C42" s="6">
        <f>VLOOKUP(A42,Actual_Revenue!A:G,4,FALSE)</f>
        <v>9988</v>
      </c>
      <c r="D42" s="6">
        <f t="shared" si="1"/>
        <v>0</v>
      </c>
      <c r="E42" s="7">
        <f t="shared" si="2"/>
        <v>0</v>
      </c>
      <c r="F42" s="6">
        <f>VLOOKUP(A42,Actual_Revenue!A:G,3,false)</f>
        <v>14256</v>
      </c>
      <c r="G42" s="6">
        <f>VLOOKUP(A42,Actual_Revenue!A:G,5,false)</f>
        <v>14256</v>
      </c>
      <c r="H42" s="6">
        <f t="shared" si="3"/>
        <v>0</v>
      </c>
      <c r="I42" s="5" t="str">
        <f t="shared" si="4"/>
        <v>MATCHED</v>
      </c>
      <c r="J42" s="5" t="str">
        <f>VLOOKUP(A42,Actual_Revenue!A:G,7,false)</f>
        <v/>
      </c>
    </row>
    <row r="43">
      <c r="A43" s="1" t="str">
        <f>LMS_Loan_Tape!A43</f>
        <v>LN-10042</v>
      </c>
      <c r="B43" s="6">
        <f>VLOOKUP(A43,Actual_Revenue!A:G,2,FALSE)</f>
        <v>47871</v>
      </c>
      <c r="C43" s="6">
        <f>VLOOKUP(A43,Actual_Revenue!A:G,4,FALSE)</f>
        <v>47871</v>
      </c>
      <c r="D43" s="6">
        <f t="shared" si="1"/>
        <v>0</v>
      </c>
      <c r="E43" s="7">
        <f t="shared" si="2"/>
        <v>0</v>
      </c>
      <c r="F43" s="6">
        <f>VLOOKUP(A43,Actual_Revenue!A:G,3,false)</f>
        <v>7551</v>
      </c>
      <c r="G43" s="6">
        <f>VLOOKUP(A43,Actual_Revenue!A:G,5,false)</f>
        <v>7551</v>
      </c>
      <c r="H43" s="6">
        <f t="shared" si="3"/>
        <v>0</v>
      </c>
      <c r="I43" s="5" t="str">
        <f t="shared" si="4"/>
        <v>MATCHED</v>
      </c>
      <c r="J43" s="5" t="str">
        <f>VLOOKUP(A43,Actual_Revenue!A:G,7,false)</f>
        <v/>
      </c>
    </row>
    <row r="44">
      <c r="A44" s="1" t="str">
        <f>LMS_Loan_Tape!A44</f>
        <v>LN-10043</v>
      </c>
      <c r="B44" s="6">
        <f>VLOOKUP(A44,Actual_Revenue!A:G,2,FALSE)</f>
        <v>121865</v>
      </c>
      <c r="C44" s="6">
        <f>VLOOKUP(A44,Actual_Revenue!A:G,4,FALSE)</f>
        <v>121865</v>
      </c>
      <c r="D44" s="6">
        <f t="shared" si="1"/>
        <v>0</v>
      </c>
      <c r="E44" s="7">
        <f t="shared" si="2"/>
        <v>0</v>
      </c>
      <c r="F44" s="6">
        <f>VLOOKUP(A44,Actual_Revenue!A:G,3,false)</f>
        <v>23298</v>
      </c>
      <c r="G44" s="6">
        <f>VLOOKUP(A44,Actual_Revenue!A:G,5,false)</f>
        <v>23298</v>
      </c>
      <c r="H44" s="6">
        <f t="shared" si="3"/>
        <v>0</v>
      </c>
      <c r="I44" s="5" t="str">
        <f t="shared" si="4"/>
        <v>MATCHED</v>
      </c>
      <c r="J44" s="5" t="str">
        <f>VLOOKUP(A44,Actual_Revenue!A:G,7,false)</f>
        <v/>
      </c>
    </row>
    <row r="45">
      <c r="A45" s="1" t="str">
        <f>LMS_Loan_Tape!A45</f>
        <v>LN-10044</v>
      </c>
      <c r="B45" s="6">
        <f>VLOOKUP(A45,Actual_Revenue!A:G,2,FALSE)</f>
        <v>7409</v>
      </c>
      <c r="C45" s="6">
        <f>VLOOKUP(A45,Actual_Revenue!A:G,4,FALSE)</f>
        <v>7409</v>
      </c>
      <c r="D45" s="6">
        <f t="shared" si="1"/>
        <v>0</v>
      </c>
      <c r="E45" s="7">
        <f t="shared" si="2"/>
        <v>0</v>
      </c>
      <c r="F45" s="6">
        <f>VLOOKUP(A45,Actual_Revenue!A:G,3,false)</f>
        <v>836</v>
      </c>
      <c r="G45" s="6">
        <f>VLOOKUP(A45,Actual_Revenue!A:G,5,false)</f>
        <v>827</v>
      </c>
      <c r="H45" s="6">
        <f t="shared" si="3"/>
        <v>9</v>
      </c>
      <c r="I45" s="5" t="str">
        <f t="shared" si="4"/>
        <v>EXCEPTION</v>
      </c>
      <c r="J45" s="5" t="str">
        <f>VLOOKUP(A45,Actual_Revenue!A:G,7,false)</f>
        <v/>
      </c>
    </row>
    <row r="46">
      <c r="A46" s="1" t="str">
        <f>LMS_Loan_Tape!A46</f>
        <v>LN-10045</v>
      </c>
      <c r="B46" s="6">
        <f>VLOOKUP(A46,Actual_Revenue!A:G,2,FALSE)</f>
        <v>131700</v>
      </c>
      <c r="C46" s="6">
        <f>VLOOKUP(A46,Actual_Revenue!A:G,4,FALSE)</f>
        <v>129066</v>
      </c>
      <c r="D46" s="6">
        <f t="shared" si="1"/>
        <v>2634</v>
      </c>
      <c r="E46" s="7">
        <f t="shared" si="2"/>
        <v>0.02</v>
      </c>
      <c r="F46" s="6">
        <f>VLOOKUP(A46,Actual_Revenue!A:G,3,false)</f>
        <v>21296</v>
      </c>
      <c r="G46" s="6">
        <f>VLOOKUP(A46,Actual_Revenue!A:G,5,false)</f>
        <v>21296</v>
      </c>
      <c r="H46" s="6">
        <f t="shared" si="3"/>
        <v>0</v>
      </c>
      <c r="I46" s="5" t="str">
        <f t="shared" si="4"/>
        <v>EXCEPTION</v>
      </c>
      <c r="J46" s="5" t="str">
        <f>VLOOKUP(A46,Actual_Revenue!A:G,7,false)</f>
        <v/>
      </c>
    </row>
    <row r="47">
      <c r="A47" s="1" t="str">
        <f>LMS_Loan_Tape!A47</f>
        <v>LN-10046</v>
      </c>
      <c r="B47" s="6">
        <f>VLOOKUP(A47,Actual_Revenue!A:G,2,FALSE)</f>
        <v>330236</v>
      </c>
      <c r="C47" s="6">
        <f>VLOOKUP(A47,Actual_Revenue!A:G,4,FALSE)</f>
        <v>330236</v>
      </c>
      <c r="D47" s="6">
        <f t="shared" si="1"/>
        <v>0</v>
      </c>
      <c r="E47" s="7">
        <f t="shared" si="2"/>
        <v>0</v>
      </c>
      <c r="F47" s="6">
        <f>VLOOKUP(A47,Actual_Revenue!A:G,3,false)</f>
        <v>39103</v>
      </c>
      <c r="G47" s="6">
        <f>VLOOKUP(A47,Actual_Revenue!A:G,5,false)</f>
        <v>39103</v>
      </c>
      <c r="H47" s="6">
        <f t="shared" si="3"/>
        <v>0</v>
      </c>
      <c r="I47" s="5" t="str">
        <f t="shared" si="4"/>
        <v>MATCHED</v>
      </c>
      <c r="J47" s="5" t="str">
        <f>VLOOKUP(A47,Actual_Revenue!A:G,7,false)</f>
        <v/>
      </c>
    </row>
    <row r="48">
      <c r="A48" s="1" t="str">
        <f>LMS_Loan_Tape!A48</f>
        <v>LN-10047</v>
      </c>
      <c r="B48" s="6">
        <f>VLOOKUP(A48,Actual_Revenue!A:G,2,FALSE)</f>
        <v>250774</v>
      </c>
      <c r="C48" s="6">
        <f>VLOOKUP(A48,Actual_Revenue!A:G,4,FALSE)</f>
        <v>250774</v>
      </c>
      <c r="D48" s="6">
        <f t="shared" si="1"/>
        <v>0</v>
      </c>
      <c r="E48" s="7">
        <f t="shared" si="2"/>
        <v>0</v>
      </c>
      <c r="F48" s="6">
        <f>VLOOKUP(A48,Actual_Revenue!A:G,3,false)</f>
        <v>31030</v>
      </c>
      <c r="G48" s="6">
        <f>VLOOKUP(A48,Actual_Revenue!A:G,5,false)</f>
        <v>31030</v>
      </c>
      <c r="H48" s="6">
        <f t="shared" si="3"/>
        <v>0</v>
      </c>
      <c r="I48" s="5" t="str">
        <f t="shared" si="4"/>
        <v>MATCHED</v>
      </c>
      <c r="J48" s="5" t="str">
        <f>VLOOKUP(A48,Actual_Revenue!A:G,7,false)</f>
        <v/>
      </c>
    </row>
    <row r="49">
      <c r="A49" s="1" t="str">
        <f>LMS_Loan_Tape!A49</f>
        <v>LN-10048</v>
      </c>
      <c r="B49" s="6">
        <f>VLOOKUP(A49,Actual_Revenue!A:G,2,FALSE)</f>
        <v>22297</v>
      </c>
      <c r="C49" s="6">
        <f>VLOOKUP(A49,Actual_Revenue!A:G,4,FALSE)</f>
        <v>22297</v>
      </c>
      <c r="D49" s="6">
        <f t="shared" si="1"/>
        <v>0</v>
      </c>
      <c r="E49" s="7">
        <f t="shared" si="2"/>
        <v>0</v>
      </c>
      <c r="F49" s="6">
        <f>VLOOKUP(A49,Actual_Revenue!A:G,3,false)</f>
        <v>2929</v>
      </c>
      <c r="G49" s="6">
        <f>VLOOKUP(A49,Actual_Revenue!A:G,5,false)</f>
        <v>2899</v>
      </c>
      <c r="H49" s="6">
        <f t="shared" si="3"/>
        <v>30</v>
      </c>
      <c r="I49" s="5" t="str">
        <f t="shared" si="4"/>
        <v>EXCEPTION</v>
      </c>
      <c r="J49" s="5" t="str">
        <f>VLOOKUP(A49,Actual_Revenue!A:G,7,false)</f>
        <v/>
      </c>
    </row>
    <row r="50">
      <c r="A50" s="1" t="str">
        <f>LMS_Loan_Tape!A50</f>
        <v>LN-10049</v>
      </c>
      <c r="B50" s="6">
        <f>VLOOKUP(A50,Actual_Revenue!A:G,2,FALSE)</f>
        <v>86589</v>
      </c>
      <c r="C50" s="6">
        <f>VLOOKUP(A50,Actual_Revenue!A:G,4,FALSE)</f>
        <v>86589</v>
      </c>
      <c r="D50" s="6">
        <f t="shared" si="1"/>
        <v>0</v>
      </c>
      <c r="E50" s="7">
        <f t="shared" si="2"/>
        <v>0</v>
      </c>
      <c r="F50" s="6">
        <f>VLOOKUP(A50,Actual_Revenue!A:G,3,false)</f>
        <v>12846</v>
      </c>
      <c r="G50" s="6">
        <f>VLOOKUP(A50,Actual_Revenue!A:G,5,false)</f>
        <v>12846</v>
      </c>
      <c r="H50" s="6">
        <f t="shared" si="3"/>
        <v>0</v>
      </c>
      <c r="I50" s="5" t="str">
        <f t="shared" si="4"/>
        <v>MATCHED</v>
      </c>
      <c r="J50" s="5" t="str">
        <f>VLOOKUP(A50,Actual_Revenue!A:G,7,false)</f>
        <v/>
      </c>
    </row>
    <row r="51">
      <c r="A51" s="1" t="str">
        <f>LMS_Loan_Tape!A51</f>
        <v>LN-10050</v>
      </c>
      <c r="B51" s="6">
        <f>VLOOKUP(A51,Actual_Revenue!A:G,2,FALSE)</f>
        <v>138462</v>
      </c>
      <c r="C51" s="6">
        <f>VLOOKUP(A51,Actual_Revenue!A:G,4,FALSE)</f>
        <v>138462</v>
      </c>
      <c r="D51" s="6">
        <f t="shared" si="1"/>
        <v>0</v>
      </c>
      <c r="E51" s="7">
        <f t="shared" si="2"/>
        <v>0</v>
      </c>
      <c r="F51" s="6">
        <f>VLOOKUP(A51,Actual_Revenue!A:G,3,false)</f>
        <v>20006</v>
      </c>
      <c r="G51" s="6">
        <f>VLOOKUP(A51,Actual_Revenue!A:G,5,false)</f>
        <v>20006</v>
      </c>
      <c r="H51" s="6">
        <f t="shared" si="3"/>
        <v>0</v>
      </c>
      <c r="I51" s="5" t="str">
        <f t="shared" si="4"/>
        <v>MATCHED</v>
      </c>
      <c r="J51" s="5" t="str">
        <f>VLOOKUP(A51,Actual_Revenue!A:G,7,false)</f>
        <v/>
      </c>
    </row>
    <row r="52">
      <c r="A52" s="1" t="str">
        <f>LMS_Loan_Tape!A52</f>
        <v>LN-10051</v>
      </c>
      <c r="B52" s="6">
        <f>VLOOKUP(A52,Actual_Revenue!A:G,2,FALSE)</f>
        <v>82659</v>
      </c>
      <c r="C52" s="6">
        <f>VLOOKUP(A52,Actual_Revenue!A:G,4,FALSE)</f>
        <v>82659</v>
      </c>
      <c r="D52" s="6">
        <f t="shared" si="1"/>
        <v>0</v>
      </c>
      <c r="E52" s="7">
        <f t="shared" si="2"/>
        <v>0</v>
      </c>
      <c r="F52" s="6">
        <f>VLOOKUP(A52,Actual_Revenue!A:G,3,false)</f>
        <v>9574</v>
      </c>
      <c r="G52" s="6">
        <f>VLOOKUP(A52,Actual_Revenue!A:G,5,false)</f>
        <v>9478</v>
      </c>
      <c r="H52" s="6">
        <f t="shared" si="3"/>
        <v>96</v>
      </c>
      <c r="I52" s="5" t="str">
        <f t="shared" si="4"/>
        <v>EXCEPTION</v>
      </c>
      <c r="J52" s="5" t="str">
        <f>VLOOKUP(A52,Actual_Revenue!A:G,7,false)</f>
        <v/>
      </c>
    </row>
    <row r="53">
      <c r="A53" s="1" t="str">
        <f>LMS_Loan_Tape!A53</f>
        <v>LN-10052</v>
      </c>
      <c r="B53" s="6">
        <f>VLOOKUP(A53,Actual_Revenue!A:G,2,FALSE)</f>
        <v>429101</v>
      </c>
      <c r="C53" s="6">
        <f>VLOOKUP(A53,Actual_Revenue!A:G,4,FALSE)</f>
        <v>429101</v>
      </c>
      <c r="D53" s="6">
        <f t="shared" si="1"/>
        <v>0</v>
      </c>
      <c r="E53" s="7">
        <f t="shared" si="2"/>
        <v>0</v>
      </c>
      <c r="F53" s="6">
        <f>VLOOKUP(A53,Actual_Revenue!A:G,3,false)</f>
        <v>47290</v>
      </c>
      <c r="G53" s="6">
        <f>VLOOKUP(A53,Actual_Revenue!A:G,5,false)</f>
        <v>47290</v>
      </c>
      <c r="H53" s="6">
        <f t="shared" si="3"/>
        <v>0</v>
      </c>
      <c r="I53" s="5" t="str">
        <f t="shared" si="4"/>
        <v>MATCHED</v>
      </c>
      <c r="J53" s="5" t="str">
        <f>VLOOKUP(A53,Actual_Revenue!A:G,7,false)</f>
        <v/>
      </c>
    </row>
    <row r="54">
      <c r="A54" s="1" t="str">
        <f>LMS_Loan_Tape!A54</f>
        <v>LN-10053</v>
      </c>
      <c r="B54" s="6">
        <f>VLOOKUP(A54,Actual_Revenue!A:G,2,FALSE)</f>
        <v>44443</v>
      </c>
      <c r="C54" s="6">
        <f>VLOOKUP(A54,Actual_Revenue!A:G,4,FALSE)</f>
        <v>44443</v>
      </c>
      <c r="D54" s="6">
        <f t="shared" si="1"/>
        <v>0</v>
      </c>
      <c r="E54" s="7">
        <f t="shared" si="2"/>
        <v>0</v>
      </c>
      <c r="F54" s="6">
        <f>VLOOKUP(A54,Actual_Revenue!A:G,3,false)</f>
        <v>9274</v>
      </c>
      <c r="G54" s="6">
        <f>VLOOKUP(A54,Actual_Revenue!A:G,5,false)</f>
        <v>9274</v>
      </c>
      <c r="H54" s="6">
        <f t="shared" si="3"/>
        <v>0</v>
      </c>
      <c r="I54" s="5" t="str">
        <f t="shared" si="4"/>
        <v>MATCHED</v>
      </c>
      <c r="J54" s="5" t="str">
        <f>VLOOKUP(A54,Actual_Revenue!A:G,7,false)</f>
        <v/>
      </c>
    </row>
    <row r="55">
      <c r="A55" s="1" t="str">
        <f>LMS_Loan_Tape!A55</f>
        <v>LN-10054</v>
      </c>
      <c r="B55" s="6">
        <f>VLOOKUP(A55,Actual_Revenue!A:G,2,FALSE)</f>
        <v>94303</v>
      </c>
      <c r="C55" s="6">
        <f>VLOOKUP(A55,Actual_Revenue!A:G,4,FALSE)</f>
        <v>94303</v>
      </c>
      <c r="D55" s="6">
        <f t="shared" si="1"/>
        <v>0</v>
      </c>
      <c r="E55" s="7">
        <f t="shared" si="2"/>
        <v>0</v>
      </c>
      <c r="F55" s="6">
        <f>VLOOKUP(A55,Actual_Revenue!A:G,3,false)</f>
        <v>44997</v>
      </c>
      <c r="G55" s="6">
        <f>VLOOKUP(A55,Actual_Revenue!A:G,5,false)</f>
        <v>44997</v>
      </c>
      <c r="H55" s="6">
        <f t="shared" si="3"/>
        <v>0</v>
      </c>
      <c r="I55" s="5" t="str">
        <f t="shared" si="4"/>
        <v>MATCHED</v>
      </c>
      <c r="J55" s="5" t="str">
        <f>VLOOKUP(A55,Actual_Revenue!A:G,7,false)</f>
        <v/>
      </c>
    </row>
    <row r="56">
      <c r="A56" s="1" t="str">
        <f>LMS_Loan_Tape!A56</f>
        <v>LN-10055</v>
      </c>
      <c r="B56" s="6">
        <f>VLOOKUP(A56,Actual_Revenue!A:G,2,FALSE)</f>
        <v>97861</v>
      </c>
      <c r="C56" s="6">
        <f>VLOOKUP(A56,Actual_Revenue!A:G,4,FALSE)</f>
        <v>97861</v>
      </c>
      <c r="D56" s="6">
        <f t="shared" si="1"/>
        <v>0</v>
      </c>
      <c r="E56" s="7">
        <f t="shared" si="2"/>
        <v>0</v>
      </c>
      <c r="F56" s="6">
        <f>VLOOKUP(A56,Actual_Revenue!A:G,3,false)</f>
        <v>14147</v>
      </c>
      <c r="G56" s="6">
        <f>VLOOKUP(A56,Actual_Revenue!A:G,5,false)</f>
        <v>14147</v>
      </c>
      <c r="H56" s="6">
        <f t="shared" si="3"/>
        <v>0</v>
      </c>
      <c r="I56" s="5" t="str">
        <f t="shared" si="4"/>
        <v>MATCHED</v>
      </c>
      <c r="J56" s="5" t="str">
        <f>VLOOKUP(A56,Actual_Revenue!A:G,7,false)</f>
        <v/>
      </c>
    </row>
    <row r="57">
      <c r="A57" s="1" t="str">
        <f>LMS_Loan_Tape!A57</f>
        <v>LN-10056</v>
      </c>
      <c r="B57" s="6">
        <f>VLOOKUP(A57,Actual_Revenue!A:G,2,FALSE)</f>
        <v>58280</v>
      </c>
      <c r="C57" s="6">
        <f>VLOOKUP(A57,Actual_Revenue!A:G,4,FALSE)</f>
        <v>58280</v>
      </c>
      <c r="D57" s="6">
        <f t="shared" si="1"/>
        <v>0</v>
      </c>
      <c r="E57" s="7">
        <f t="shared" si="2"/>
        <v>0</v>
      </c>
      <c r="F57" s="6">
        <f>VLOOKUP(A57,Actual_Revenue!A:G,3,false)</f>
        <v>10932</v>
      </c>
      <c r="G57" s="6">
        <f>VLOOKUP(A57,Actual_Revenue!A:G,5,false)</f>
        <v>10822</v>
      </c>
      <c r="H57" s="6">
        <f t="shared" si="3"/>
        <v>110</v>
      </c>
      <c r="I57" s="5" t="str">
        <f t="shared" si="4"/>
        <v>EXCEPTION</v>
      </c>
      <c r="J57" s="5" t="str">
        <f>VLOOKUP(A57,Actual_Revenue!A:G,7,false)</f>
        <v/>
      </c>
    </row>
    <row r="58">
      <c r="A58" s="1" t="str">
        <f>LMS_Loan_Tape!A58</f>
        <v>LN-10057</v>
      </c>
      <c r="B58" s="6">
        <f>VLOOKUP(A58,Actual_Revenue!A:G,2,FALSE)</f>
        <v>56168</v>
      </c>
      <c r="C58" s="6">
        <f>VLOOKUP(A58,Actual_Revenue!A:G,4,FALSE)</f>
        <v>56168</v>
      </c>
      <c r="D58" s="6">
        <f t="shared" si="1"/>
        <v>0</v>
      </c>
      <c r="E58" s="7">
        <f t="shared" si="2"/>
        <v>0</v>
      </c>
      <c r="F58" s="6">
        <f>VLOOKUP(A58,Actual_Revenue!A:G,3,false)</f>
        <v>21604</v>
      </c>
      <c r="G58" s="6">
        <f>VLOOKUP(A58,Actual_Revenue!A:G,5,false)</f>
        <v>21604</v>
      </c>
      <c r="H58" s="6">
        <f t="shared" si="3"/>
        <v>0</v>
      </c>
      <c r="I58" s="5" t="str">
        <f t="shared" si="4"/>
        <v>MATCHED</v>
      </c>
      <c r="J58" s="5" t="str">
        <f>VLOOKUP(A58,Actual_Revenue!A:G,7,false)</f>
        <v/>
      </c>
    </row>
    <row r="59">
      <c r="A59" s="1" t="str">
        <f>LMS_Loan_Tape!A59</f>
        <v>LN-10058</v>
      </c>
      <c r="B59" s="6">
        <f>VLOOKUP(A59,Actual_Revenue!A:G,2,FALSE)</f>
        <v>94403</v>
      </c>
      <c r="C59" s="6">
        <f>VLOOKUP(A59,Actual_Revenue!A:G,4,FALSE)</f>
        <v>94403</v>
      </c>
      <c r="D59" s="6">
        <f t="shared" si="1"/>
        <v>0</v>
      </c>
      <c r="E59" s="7">
        <f t="shared" si="2"/>
        <v>0</v>
      </c>
      <c r="F59" s="6">
        <f>VLOOKUP(A59,Actual_Revenue!A:G,3,false)</f>
        <v>33999</v>
      </c>
      <c r="G59" s="6">
        <f>VLOOKUP(A59,Actual_Revenue!A:G,5,false)</f>
        <v>33999</v>
      </c>
      <c r="H59" s="6">
        <f t="shared" si="3"/>
        <v>0</v>
      </c>
      <c r="I59" s="5" t="str">
        <f t="shared" si="4"/>
        <v>MATCHED</v>
      </c>
      <c r="J59" s="5" t="str">
        <f>VLOOKUP(A59,Actual_Revenue!A:G,7,false)</f>
        <v/>
      </c>
    </row>
    <row r="60">
      <c r="A60" s="1" t="str">
        <f>LMS_Loan_Tape!A60</f>
        <v>LN-10059</v>
      </c>
      <c r="B60" s="6">
        <f>VLOOKUP(A60,Actual_Revenue!A:G,2,FALSE)</f>
        <v>66606</v>
      </c>
      <c r="C60" s="6">
        <f>VLOOKUP(A60,Actual_Revenue!A:G,4,FALSE)</f>
        <v>66606</v>
      </c>
      <c r="D60" s="6">
        <f t="shared" si="1"/>
        <v>0</v>
      </c>
      <c r="E60" s="7">
        <f t="shared" si="2"/>
        <v>0</v>
      </c>
      <c r="F60" s="6">
        <f>VLOOKUP(A60,Actual_Revenue!A:G,3,false)</f>
        <v>44545</v>
      </c>
      <c r="G60" s="6">
        <f>VLOOKUP(A60,Actual_Revenue!A:G,5,false)</f>
        <v>44545</v>
      </c>
      <c r="H60" s="6">
        <f t="shared" si="3"/>
        <v>0</v>
      </c>
      <c r="I60" s="5" t="str">
        <f t="shared" si="4"/>
        <v>MATCHED</v>
      </c>
      <c r="J60" s="5" t="str">
        <f>VLOOKUP(A60,Actual_Revenue!A:G,7,false)</f>
        <v/>
      </c>
    </row>
    <row r="61">
      <c r="A61" s="1" t="str">
        <f>LMS_Loan_Tape!A61</f>
        <v>LN-10060</v>
      </c>
      <c r="B61" s="6">
        <f>VLOOKUP(A61,Actual_Revenue!A:G,2,FALSE)</f>
        <v>41875</v>
      </c>
      <c r="C61" s="6">
        <f>VLOOKUP(A61,Actual_Revenue!A:G,4,FALSE)</f>
        <v>41875</v>
      </c>
      <c r="D61" s="6">
        <f t="shared" si="1"/>
        <v>0</v>
      </c>
      <c r="E61" s="7">
        <f t="shared" si="2"/>
        <v>0</v>
      </c>
      <c r="F61" s="6">
        <f>VLOOKUP(A61,Actual_Revenue!A:G,3,false)</f>
        <v>5742</v>
      </c>
      <c r="G61" s="6">
        <f>VLOOKUP(A61,Actual_Revenue!A:G,5,false)</f>
        <v>5742</v>
      </c>
      <c r="H61" s="6">
        <f t="shared" si="3"/>
        <v>0</v>
      </c>
      <c r="I61" s="5" t="str">
        <f t="shared" si="4"/>
        <v>MATCHED</v>
      </c>
      <c r="J61" s="5" t="str">
        <f>VLOOKUP(A61,Actual_Revenue!A:G,7,false)</f>
        <v/>
      </c>
    </row>
    <row r="62">
      <c r="A62" s="1" t="str">
        <f>LMS_Loan_Tape!A62</f>
        <v>LN-10061</v>
      </c>
      <c r="B62" s="6">
        <f>VLOOKUP(A62,Actual_Revenue!A:G,2,FALSE)</f>
        <v>353882</v>
      </c>
      <c r="C62" s="6">
        <f>VLOOKUP(A62,Actual_Revenue!A:G,4,FALSE)</f>
        <v>353882</v>
      </c>
      <c r="D62" s="6">
        <f t="shared" si="1"/>
        <v>0</v>
      </c>
      <c r="E62" s="7">
        <f t="shared" si="2"/>
        <v>0</v>
      </c>
      <c r="F62" s="6">
        <f>VLOOKUP(A62,Actual_Revenue!A:G,3,false)</f>
        <v>38918</v>
      </c>
      <c r="G62" s="6">
        <f>VLOOKUP(A62,Actual_Revenue!A:G,5,false)</f>
        <v>38918</v>
      </c>
      <c r="H62" s="6">
        <f t="shared" si="3"/>
        <v>0</v>
      </c>
      <c r="I62" s="5" t="str">
        <f t="shared" si="4"/>
        <v>MATCHED</v>
      </c>
      <c r="J62" s="5" t="str">
        <f>VLOOKUP(A62,Actual_Revenue!A:G,7,false)</f>
        <v/>
      </c>
    </row>
    <row r="63">
      <c r="A63" s="1" t="str">
        <f>LMS_Loan_Tape!A63</f>
        <v>LN-10062</v>
      </c>
      <c r="B63" s="6">
        <f>VLOOKUP(A63,Actual_Revenue!A:G,2,FALSE)</f>
        <v>362648</v>
      </c>
      <c r="C63" s="6">
        <f>VLOOKUP(A63,Actual_Revenue!A:G,4,FALSE)</f>
        <v>355395</v>
      </c>
      <c r="D63" s="6">
        <f t="shared" si="1"/>
        <v>7253</v>
      </c>
      <c r="E63" s="7">
        <f t="shared" si="2"/>
        <v>0.0200001103</v>
      </c>
      <c r="F63" s="6">
        <f>VLOOKUP(A63,Actual_Revenue!A:G,3,false)</f>
        <v>43577</v>
      </c>
      <c r="G63" s="6">
        <f>VLOOKUP(A63,Actual_Revenue!A:G,5,false)</f>
        <v>43577</v>
      </c>
      <c r="H63" s="6">
        <f t="shared" si="3"/>
        <v>0</v>
      </c>
      <c r="I63" s="5" t="str">
        <f t="shared" si="4"/>
        <v>EXCEPTION</v>
      </c>
      <c r="J63" s="5" t="str">
        <f>VLOOKUP(A63,Actual_Revenue!A:G,7,false)</f>
        <v/>
      </c>
    </row>
    <row r="64">
      <c r="A64" s="1" t="str">
        <f>LMS_Loan_Tape!A64</f>
        <v>LN-10063</v>
      </c>
      <c r="B64" s="6">
        <f>VLOOKUP(A64,Actual_Revenue!A:G,2,FALSE)</f>
        <v>25767</v>
      </c>
      <c r="C64" s="6">
        <f>VLOOKUP(A64,Actual_Revenue!A:G,4,FALSE)</f>
        <v>25767</v>
      </c>
      <c r="D64" s="6">
        <f t="shared" si="1"/>
        <v>0</v>
      </c>
      <c r="E64" s="7">
        <f t="shared" si="2"/>
        <v>0</v>
      </c>
      <c r="F64" s="6">
        <f>VLOOKUP(A64,Actual_Revenue!A:G,3,false)</f>
        <v>24572</v>
      </c>
      <c r="G64" s="6">
        <f>VLOOKUP(A64,Actual_Revenue!A:G,5,false)</f>
        <v>24572</v>
      </c>
      <c r="H64" s="6">
        <f t="shared" si="3"/>
        <v>0</v>
      </c>
      <c r="I64" s="5" t="str">
        <f t="shared" si="4"/>
        <v>MATCHED</v>
      </c>
      <c r="J64" s="5" t="str">
        <f>VLOOKUP(A64,Actual_Revenue!A:G,7,false)</f>
        <v/>
      </c>
    </row>
    <row r="65">
      <c r="A65" s="1" t="str">
        <f>LMS_Loan_Tape!A65</f>
        <v>LN-10064</v>
      </c>
      <c r="B65" s="6">
        <f>VLOOKUP(A65,Actual_Revenue!A:G,2,FALSE)</f>
        <v>44578</v>
      </c>
      <c r="C65" s="6">
        <f>VLOOKUP(A65,Actual_Revenue!A:G,4,FALSE)</f>
        <v>44578</v>
      </c>
      <c r="D65" s="6">
        <f t="shared" si="1"/>
        <v>0</v>
      </c>
      <c r="E65" s="7">
        <f t="shared" si="2"/>
        <v>0</v>
      </c>
      <c r="F65" s="6">
        <f>VLOOKUP(A65,Actual_Revenue!A:G,3,false)</f>
        <v>5168</v>
      </c>
      <c r="G65" s="6">
        <f>VLOOKUP(A65,Actual_Revenue!A:G,5,false)</f>
        <v>5168</v>
      </c>
      <c r="H65" s="6">
        <f t="shared" si="3"/>
        <v>0</v>
      </c>
      <c r="I65" s="5" t="str">
        <f t="shared" si="4"/>
        <v>MATCHED</v>
      </c>
      <c r="J65" s="5" t="str">
        <f>VLOOKUP(A65,Actual_Revenue!A:G,7,false)</f>
        <v/>
      </c>
    </row>
    <row r="66">
      <c r="A66" s="1" t="str">
        <f>LMS_Loan_Tape!A66</f>
        <v>LN-10065</v>
      </c>
      <c r="B66" s="6">
        <f>VLOOKUP(A66,Actual_Revenue!A:G,2,FALSE)</f>
        <v>232767</v>
      </c>
      <c r="C66" s="6">
        <f>VLOOKUP(A66,Actual_Revenue!A:G,4,FALSE)</f>
        <v>232767</v>
      </c>
      <c r="D66" s="6">
        <f t="shared" si="1"/>
        <v>0</v>
      </c>
      <c r="E66" s="7">
        <f t="shared" si="2"/>
        <v>0</v>
      </c>
      <c r="F66" s="6">
        <f>VLOOKUP(A66,Actual_Revenue!A:G,3,false)</f>
        <v>22221</v>
      </c>
      <c r="G66" s="6">
        <f>VLOOKUP(A66,Actual_Revenue!A:G,5,false)</f>
        <v>22221</v>
      </c>
      <c r="H66" s="6">
        <f t="shared" si="3"/>
        <v>0</v>
      </c>
      <c r="I66" s="5" t="str">
        <f t="shared" si="4"/>
        <v>MATCHED</v>
      </c>
      <c r="J66" s="5" t="str">
        <f>VLOOKUP(A66,Actual_Revenue!A:G,7,false)</f>
        <v/>
      </c>
    </row>
    <row r="67">
      <c r="A67" s="1" t="str">
        <f>LMS_Loan_Tape!A67</f>
        <v>LN-10066</v>
      </c>
      <c r="B67" s="6">
        <f>VLOOKUP(A67,Actual_Revenue!A:G,2,FALSE)</f>
        <v>31994</v>
      </c>
      <c r="C67" s="6">
        <f>VLOOKUP(A67,Actual_Revenue!A:G,4,FALSE)</f>
        <v>31994</v>
      </c>
      <c r="D67" s="6">
        <f t="shared" si="1"/>
        <v>0</v>
      </c>
      <c r="E67" s="7">
        <f t="shared" si="2"/>
        <v>0</v>
      </c>
      <c r="F67" s="6">
        <f>VLOOKUP(A67,Actual_Revenue!A:G,3,false)</f>
        <v>43711</v>
      </c>
      <c r="G67" s="6">
        <f>VLOOKUP(A67,Actual_Revenue!A:G,5,false)</f>
        <v>43711</v>
      </c>
      <c r="H67" s="6">
        <f t="shared" si="3"/>
        <v>0</v>
      </c>
      <c r="I67" s="5" t="str">
        <f t="shared" si="4"/>
        <v>MATCHED</v>
      </c>
      <c r="J67" s="5" t="str">
        <f>VLOOKUP(A67,Actual_Revenue!A:G,7,false)</f>
        <v/>
      </c>
    </row>
    <row r="68">
      <c r="A68" s="1" t="str">
        <f>LMS_Loan_Tape!A68</f>
        <v>LN-10067</v>
      </c>
      <c r="B68" s="6">
        <f>VLOOKUP(A68,Actual_Revenue!A:G,2,FALSE)</f>
        <v>197577</v>
      </c>
      <c r="C68" s="6">
        <f>VLOOKUP(A68,Actual_Revenue!A:G,4,FALSE)</f>
        <v>197577</v>
      </c>
      <c r="D68" s="6">
        <f t="shared" si="1"/>
        <v>0</v>
      </c>
      <c r="E68" s="7">
        <f t="shared" si="2"/>
        <v>0</v>
      </c>
      <c r="F68" s="6">
        <f>VLOOKUP(A68,Actual_Revenue!A:G,3,false)</f>
        <v>14575</v>
      </c>
      <c r="G68" s="6">
        <f>VLOOKUP(A68,Actual_Revenue!A:G,5,false)</f>
        <v>14575</v>
      </c>
      <c r="H68" s="6">
        <f t="shared" si="3"/>
        <v>0</v>
      </c>
      <c r="I68" s="5" t="str">
        <f t="shared" si="4"/>
        <v>MATCHED</v>
      </c>
      <c r="J68" s="5" t="str">
        <f>VLOOKUP(A68,Actual_Revenue!A:G,7,false)</f>
        <v/>
      </c>
    </row>
    <row r="69">
      <c r="A69" s="1" t="str">
        <f>LMS_Loan_Tape!A69</f>
        <v>LN-10068</v>
      </c>
      <c r="B69" s="6">
        <f>VLOOKUP(A69,Actual_Revenue!A:G,2,FALSE)</f>
        <v>24836</v>
      </c>
      <c r="C69" s="6">
        <f>VLOOKUP(A69,Actual_Revenue!A:G,4,FALSE)</f>
        <v>24836</v>
      </c>
      <c r="D69" s="6">
        <f t="shared" si="1"/>
        <v>0</v>
      </c>
      <c r="E69" s="7">
        <f t="shared" si="2"/>
        <v>0</v>
      </c>
      <c r="F69" s="6">
        <f>VLOOKUP(A69,Actual_Revenue!A:G,3,false)</f>
        <v>29808</v>
      </c>
      <c r="G69" s="6">
        <f>VLOOKUP(A69,Actual_Revenue!A:G,5,false)</f>
        <v>29808</v>
      </c>
      <c r="H69" s="6">
        <f t="shared" si="3"/>
        <v>0</v>
      </c>
      <c r="I69" s="5" t="str">
        <f t="shared" si="4"/>
        <v>MATCHED</v>
      </c>
      <c r="J69" s="5" t="str">
        <f>VLOOKUP(A69,Actual_Revenue!A:G,7,false)</f>
        <v/>
      </c>
    </row>
    <row r="70">
      <c r="A70" s="1" t="str">
        <f>LMS_Loan_Tape!A70</f>
        <v>LN-10069</v>
      </c>
      <c r="B70" s="6">
        <f>VLOOKUP(A70,Actual_Revenue!A:G,2,FALSE)</f>
        <v>109536</v>
      </c>
      <c r="C70" s="6">
        <f>VLOOKUP(A70,Actual_Revenue!A:G,4,FALSE)</f>
        <v>110210</v>
      </c>
      <c r="D70" s="6">
        <f t="shared" si="1"/>
        <v>-674</v>
      </c>
      <c r="E70" s="7">
        <f t="shared" si="2"/>
        <v>-0.006153228162</v>
      </c>
      <c r="F70" s="6">
        <f>VLOOKUP(A70,Actual_Revenue!A:G,3,false)</f>
        <v>25724</v>
      </c>
      <c r="G70" s="6">
        <f>VLOOKUP(A70,Actual_Revenue!A:G,5,false)</f>
        <v>25724</v>
      </c>
      <c r="H70" s="6">
        <f t="shared" si="3"/>
        <v>0</v>
      </c>
      <c r="I70" s="5" t="str">
        <f t="shared" si="4"/>
        <v>EXCEPTION</v>
      </c>
      <c r="J70" s="5" t="str">
        <f>VLOOKUP(A70,Actual_Revenue!A:G,7,false)</f>
        <v>System Error</v>
      </c>
    </row>
    <row r="71">
      <c r="A71" s="1" t="str">
        <f>LMS_Loan_Tape!A71</f>
        <v>LN-10070</v>
      </c>
      <c r="B71" s="6">
        <f>VLOOKUP(A71,Actual_Revenue!A:G,2,FALSE)</f>
        <v>214000</v>
      </c>
      <c r="C71" s="6">
        <f>VLOOKUP(A71,Actual_Revenue!A:G,4,FALSE)</f>
        <v>214000</v>
      </c>
      <c r="D71" s="6">
        <f t="shared" si="1"/>
        <v>0</v>
      </c>
      <c r="E71" s="7">
        <f t="shared" si="2"/>
        <v>0</v>
      </c>
      <c r="F71" s="6">
        <f>VLOOKUP(A71,Actual_Revenue!A:G,3,false)</f>
        <v>28946</v>
      </c>
      <c r="G71" s="6">
        <f>VLOOKUP(A71,Actual_Revenue!A:G,5,false)</f>
        <v>28946</v>
      </c>
      <c r="H71" s="6">
        <f t="shared" si="3"/>
        <v>0</v>
      </c>
      <c r="I71" s="5" t="str">
        <f t="shared" si="4"/>
        <v>MATCHED</v>
      </c>
      <c r="J71" s="5" t="str">
        <f>VLOOKUP(A71,Actual_Revenue!A:G,7,false)</f>
        <v/>
      </c>
    </row>
    <row r="72">
      <c r="A72" s="1" t="str">
        <f>LMS_Loan_Tape!A72</f>
        <v>LN-10071</v>
      </c>
      <c r="B72" s="6">
        <f>VLOOKUP(A72,Actual_Revenue!A:G,2,FALSE)</f>
        <v>99386</v>
      </c>
      <c r="C72" s="6">
        <f>VLOOKUP(A72,Actual_Revenue!A:G,4,FALSE)</f>
        <v>99386</v>
      </c>
      <c r="D72" s="6">
        <f t="shared" si="1"/>
        <v>0</v>
      </c>
      <c r="E72" s="7">
        <f t="shared" si="2"/>
        <v>0</v>
      </c>
      <c r="F72" s="6">
        <f>VLOOKUP(A72,Actual_Revenue!A:G,3,false)</f>
        <v>35407</v>
      </c>
      <c r="G72" s="6">
        <f>VLOOKUP(A72,Actual_Revenue!A:G,5,false)</f>
        <v>35407</v>
      </c>
      <c r="H72" s="6">
        <f t="shared" si="3"/>
        <v>0</v>
      </c>
      <c r="I72" s="5" t="str">
        <f t="shared" si="4"/>
        <v>MATCHED</v>
      </c>
      <c r="J72" s="5" t="str">
        <f>VLOOKUP(A72,Actual_Revenue!A:G,7,false)</f>
        <v/>
      </c>
    </row>
    <row r="73">
      <c r="A73" s="1" t="str">
        <f>LMS_Loan_Tape!A73</f>
        <v>LN-10072</v>
      </c>
      <c r="B73" s="6">
        <f>VLOOKUP(A73,Actual_Revenue!A:G,2,FALSE)</f>
        <v>86672</v>
      </c>
      <c r="C73" s="6">
        <f>VLOOKUP(A73,Actual_Revenue!A:G,4,FALSE)</f>
        <v>86672</v>
      </c>
      <c r="D73" s="6">
        <f t="shared" si="1"/>
        <v>0</v>
      </c>
      <c r="E73" s="7">
        <f t="shared" si="2"/>
        <v>0</v>
      </c>
      <c r="F73" s="6">
        <f>VLOOKUP(A73,Actual_Revenue!A:G,3,false)</f>
        <v>16383</v>
      </c>
      <c r="G73" s="6">
        <f>VLOOKUP(A73,Actual_Revenue!A:G,5,false)</f>
        <v>16383</v>
      </c>
      <c r="H73" s="6">
        <f t="shared" si="3"/>
        <v>0</v>
      </c>
      <c r="I73" s="5" t="str">
        <f t="shared" si="4"/>
        <v>MATCHED</v>
      </c>
      <c r="J73" s="5" t="str">
        <f>VLOOKUP(A73,Actual_Revenue!A:G,7,false)</f>
        <v/>
      </c>
    </row>
    <row r="74">
      <c r="A74" s="1" t="str">
        <f>LMS_Loan_Tape!A74</f>
        <v>LN-10073</v>
      </c>
      <c r="B74" s="6">
        <f>VLOOKUP(A74,Actual_Revenue!A:G,2,FALSE)</f>
        <v>72302</v>
      </c>
      <c r="C74" s="6">
        <f>VLOOKUP(A74,Actual_Revenue!A:G,4,FALSE)</f>
        <v>72302</v>
      </c>
      <c r="D74" s="6">
        <f t="shared" si="1"/>
        <v>0</v>
      </c>
      <c r="E74" s="7">
        <f t="shared" si="2"/>
        <v>0</v>
      </c>
      <c r="F74" s="6">
        <f>VLOOKUP(A74,Actual_Revenue!A:G,3,false)</f>
        <v>12694</v>
      </c>
      <c r="G74" s="6">
        <f>VLOOKUP(A74,Actual_Revenue!A:G,5,false)</f>
        <v>12694</v>
      </c>
      <c r="H74" s="6">
        <f t="shared" si="3"/>
        <v>0</v>
      </c>
      <c r="I74" s="5" t="str">
        <f t="shared" si="4"/>
        <v>MATCHED</v>
      </c>
      <c r="J74" s="5" t="str">
        <f>VLOOKUP(A74,Actual_Revenue!A:G,7,false)</f>
        <v/>
      </c>
    </row>
    <row r="75">
      <c r="A75" s="1" t="str">
        <f>LMS_Loan_Tape!A75</f>
        <v>LN-10074</v>
      </c>
      <c r="B75" s="6">
        <f>VLOOKUP(A75,Actual_Revenue!A:G,2,FALSE)</f>
        <v>370391</v>
      </c>
      <c r="C75" s="6">
        <f>VLOOKUP(A75,Actual_Revenue!A:G,4,FALSE)</f>
        <v>370391</v>
      </c>
      <c r="D75" s="6">
        <f t="shared" si="1"/>
        <v>0</v>
      </c>
      <c r="E75" s="7">
        <f t="shared" si="2"/>
        <v>0</v>
      </c>
      <c r="F75" s="6">
        <f>VLOOKUP(A75,Actual_Revenue!A:G,3,false)</f>
        <v>46841</v>
      </c>
      <c r="G75" s="6">
        <f>VLOOKUP(A75,Actual_Revenue!A:G,5,false)</f>
        <v>46841</v>
      </c>
      <c r="H75" s="6">
        <f t="shared" si="3"/>
        <v>0</v>
      </c>
      <c r="I75" s="5" t="str">
        <f t="shared" si="4"/>
        <v>MATCHED</v>
      </c>
      <c r="J75" s="5" t="str">
        <f>VLOOKUP(A75,Actual_Revenue!A:G,7,false)</f>
        <v/>
      </c>
    </row>
    <row r="76">
      <c r="A76" s="1" t="str">
        <f>LMS_Loan_Tape!A76</f>
        <v>LN-10075</v>
      </c>
      <c r="B76" s="6">
        <f>VLOOKUP(A76,Actual_Revenue!A:G,2,FALSE)</f>
        <v>88094</v>
      </c>
      <c r="C76" s="6">
        <f>VLOOKUP(A76,Actual_Revenue!A:G,4,FALSE)</f>
        <v>92498</v>
      </c>
      <c r="D76" s="6">
        <f t="shared" si="1"/>
        <v>-4404</v>
      </c>
      <c r="E76" s="7">
        <f t="shared" si="2"/>
        <v>-0.04999205394</v>
      </c>
      <c r="F76" s="6">
        <f>VLOOKUP(A76,Actual_Revenue!A:G,3,false)</f>
        <v>24407</v>
      </c>
      <c r="G76" s="6">
        <f>VLOOKUP(A76,Actual_Revenue!A:G,5,false)</f>
        <v>24407</v>
      </c>
      <c r="H76" s="6">
        <f t="shared" si="3"/>
        <v>0</v>
      </c>
      <c r="I76" s="5" t="str">
        <f t="shared" si="4"/>
        <v>EXCEPTION</v>
      </c>
      <c r="J76" s="5" t="str">
        <f>VLOOKUP(A76,Actual_Revenue!A:G,7,false)</f>
        <v>Rate Change</v>
      </c>
    </row>
    <row r="77">
      <c r="A77" s="1" t="str">
        <f>LMS_Loan_Tape!A77</f>
        <v>LN-10076</v>
      </c>
      <c r="B77" s="6">
        <f>VLOOKUP(A77,Actual_Revenue!A:G,2,FALSE)</f>
        <v>41646</v>
      </c>
      <c r="C77" s="6">
        <f>VLOOKUP(A77,Actual_Revenue!A:G,4,FALSE)</f>
        <v>43728</v>
      </c>
      <c r="D77" s="6">
        <f t="shared" si="1"/>
        <v>-2082</v>
      </c>
      <c r="E77" s="7">
        <f t="shared" si="2"/>
        <v>-0.04999279643</v>
      </c>
      <c r="F77" s="6">
        <f>VLOOKUP(A77,Actual_Revenue!A:G,3,false)</f>
        <v>29276</v>
      </c>
      <c r="G77" s="6">
        <f>VLOOKUP(A77,Actual_Revenue!A:G,5,false)</f>
        <v>29276</v>
      </c>
      <c r="H77" s="6">
        <f t="shared" si="3"/>
        <v>0</v>
      </c>
      <c r="I77" s="5" t="str">
        <f t="shared" si="4"/>
        <v>EXCEPTION</v>
      </c>
      <c r="J77" s="5" t="str">
        <f>VLOOKUP(A77,Actual_Revenue!A:G,7,false)</f>
        <v>Rate Change</v>
      </c>
    </row>
    <row r="78">
      <c r="A78" s="1" t="str">
        <f>LMS_Loan_Tape!A78</f>
        <v>LN-10077</v>
      </c>
      <c r="B78" s="6">
        <f>VLOOKUP(A78,Actual_Revenue!A:G,2,FALSE)</f>
        <v>15658</v>
      </c>
      <c r="C78" s="6">
        <f>VLOOKUP(A78,Actual_Revenue!A:G,4,FALSE)</f>
        <v>15658</v>
      </c>
      <c r="D78" s="6">
        <f t="shared" si="1"/>
        <v>0</v>
      </c>
      <c r="E78" s="7">
        <f t="shared" si="2"/>
        <v>0</v>
      </c>
      <c r="F78" s="6">
        <f>VLOOKUP(A78,Actual_Revenue!A:G,3,false)</f>
        <v>7494</v>
      </c>
      <c r="G78" s="6">
        <f>VLOOKUP(A78,Actual_Revenue!A:G,5,false)</f>
        <v>7494</v>
      </c>
      <c r="H78" s="6">
        <f t="shared" si="3"/>
        <v>0</v>
      </c>
      <c r="I78" s="5" t="str">
        <f t="shared" si="4"/>
        <v>MATCHED</v>
      </c>
      <c r="J78" s="5" t="str">
        <f>VLOOKUP(A78,Actual_Revenue!A:G,7,false)</f>
        <v/>
      </c>
    </row>
    <row r="79">
      <c r="A79" s="1" t="str">
        <f>LMS_Loan_Tape!A79</f>
        <v>LN-10078</v>
      </c>
      <c r="B79" s="6">
        <f>VLOOKUP(A79,Actual_Revenue!A:G,2,FALSE)</f>
        <v>36280</v>
      </c>
      <c r="C79" s="6">
        <f>VLOOKUP(A79,Actual_Revenue!A:G,4,FALSE)</f>
        <v>36280</v>
      </c>
      <c r="D79" s="6">
        <f t="shared" si="1"/>
        <v>0</v>
      </c>
      <c r="E79" s="7">
        <f t="shared" si="2"/>
        <v>0</v>
      </c>
      <c r="F79" s="6">
        <f>VLOOKUP(A79,Actual_Revenue!A:G,3,false)</f>
        <v>5874</v>
      </c>
      <c r="G79" s="6">
        <f>VLOOKUP(A79,Actual_Revenue!A:G,5,false)</f>
        <v>5874</v>
      </c>
      <c r="H79" s="6">
        <f t="shared" si="3"/>
        <v>0</v>
      </c>
      <c r="I79" s="5" t="str">
        <f t="shared" si="4"/>
        <v>MATCHED</v>
      </c>
      <c r="J79" s="5" t="str">
        <f>VLOOKUP(A79,Actual_Revenue!A:G,7,false)</f>
        <v/>
      </c>
    </row>
    <row r="80">
      <c r="A80" s="1" t="str">
        <f>LMS_Loan_Tape!A80</f>
        <v>LN-10079</v>
      </c>
      <c r="B80" s="6">
        <f>VLOOKUP(A80,Actual_Revenue!A:G,2,FALSE)</f>
        <v>259543</v>
      </c>
      <c r="C80" s="6">
        <f>VLOOKUP(A80,Actual_Revenue!A:G,4,FALSE)</f>
        <v>259543</v>
      </c>
      <c r="D80" s="6">
        <f t="shared" si="1"/>
        <v>0</v>
      </c>
      <c r="E80" s="7">
        <f t="shared" si="2"/>
        <v>0</v>
      </c>
      <c r="F80" s="6">
        <f>VLOOKUP(A80,Actual_Revenue!A:G,3,false)</f>
        <v>48465</v>
      </c>
      <c r="G80" s="6">
        <f>VLOOKUP(A80,Actual_Revenue!A:G,5,false)</f>
        <v>48465</v>
      </c>
      <c r="H80" s="6">
        <f t="shared" si="3"/>
        <v>0</v>
      </c>
      <c r="I80" s="5" t="str">
        <f t="shared" si="4"/>
        <v>MATCHED</v>
      </c>
      <c r="J80" s="5" t="str">
        <f>VLOOKUP(A80,Actual_Revenue!A:G,7,false)</f>
        <v/>
      </c>
    </row>
    <row r="81">
      <c r="A81" s="1" t="str">
        <f>LMS_Loan_Tape!A81</f>
        <v>LN-10080</v>
      </c>
      <c r="B81" s="6">
        <f>VLOOKUP(A81,Actual_Revenue!A:G,2,FALSE)</f>
        <v>216946</v>
      </c>
      <c r="C81" s="6">
        <f>VLOOKUP(A81,Actual_Revenue!A:G,4,FALSE)</f>
        <v>216946</v>
      </c>
      <c r="D81" s="6">
        <f t="shared" si="1"/>
        <v>0</v>
      </c>
      <c r="E81" s="7">
        <f t="shared" si="2"/>
        <v>0</v>
      </c>
      <c r="F81" s="6">
        <f>VLOOKUP(A81,Actual_Revenue!A:G,3,false)</f>
        <v>24732</v>
      </c>
      <c r="G81" s="6">
        <f>VLOOKUP(A81,Actual_Revenue!A:G,5,false)</f>
        <v>24732</v>
      </c>
      <c r="H81" s="6">
        <f t="shared" si="3"/>
        <v>0</v>
      </c>
      <c r="I81" s="5" t="str">
        <f t="shared" si="4"/>
        <v>MATCHED</v>
      </c>
      <c r="J81" s="5" t="str">
        <f>VLOOKUP(A81,Actual_Revenue!A:G,7,false)</f>
        <v/>
      </c>
    </row>
    <row r="82">
      <c r="A82" s="1" t="str">
        <f>LMS_Loan_Tape!A82</f>
        <v>LN-10081</v>
      </c>
      <c r="B82" s="6">
        <f>VLOOKUP(A82,Actual_Revenue!A:G,2,FALSE)</f>
        <v>291821</v>
      </c>
      <c r="C82" s="6">
        <f>VLOOKUP(A82,Actual_Revenue!A:G,4,FALSE)</f>
        <v>291821</v>
      </c>
      <c r="D82" s="6">
        <f t="shared" si="1"/>
        <v>0</v>
      </c>
      <c r="E82" s="7">
        <f t="shared" si="2"/>
        <v>0</v>
      </c>
      <c r="F82" s="6">
        <f>VLOOKUP(A82,Actual_Revenue!A:G,3,false)</f>
        <v>36865</v>
      </c>
      <c r="G82" s="6">
        <f>VLOOKUP(A82,Actual_Revenue!A:G,5,false)</f>
        <v>36496</v>
      </c>
      <c r="H82" s="6">
        <f t="shared" si="3"/>
        <v>369</v>
      </c>
      <c r="I82" s="5" t="str">
        <f t="shared" si="4"/>
        <v>EXCEPTION</v>
      </c>
      <c r="J82" s="5" t="str">
        <f>VLOOKUP(A82,Actual_Revenue!A:G,7,false)</f>
        <v/>
      </c>
    </row>
    <row r="83">
      <c r="A83" s="1" t="str">
        <f>LMS_Loan_Tape!A83</f>
        <v>LN-10082</v>
      </c>
      <c r="B83" s="6">
        <f>VLOOKUP(A83,Actual_Revenue!A:G,2,FALSE)</f>
        <v>296219</v>
      </c>
      <c r="C83" s="6">
        <f>VLOOKUP(A83,Actual_Revenue!A:G,4,FALSE)</f>
        <v>290294</v>
      </c>
      <c r="D83" s="6">
        <f t="shared" si="1"/>
        <v>5925</v>
      </c>
      <c r="E83" s="7">
        <f t="shared" si="2"/>
        <v>0.02000209305</v>
      </c>
      <c r="F83" s="6">
        <f>VLOOKUP(A83,Actual_Revenue!A:G,3,false)</f>
        <v>32049</v>
      </c>
      <c r="G83" s="6">
        <f>VLOOKUP(A83,Actual_Revenue!A:G,5,false)</f>
        <v>32049</v>
      </c>
      <c r="H83" s="6">
        <f t="shared" si="3"/>
        <v>0</v>
      </c>
      <c r="I83" s="5" t="str">
        <f t="shared" si="4"/>
        <v>EXCEPTION</v>
      </c>
      <c r="J83" s="5" t="str">
        <f>VLOOKUP(A83,Actual_Revenue!A:G,7,false)</f>
        <v/>
      </c>
    </row>
    <row r="84">
      <c r="A84" s="1" t="str">
        <f>LMS_Loan_Tape!A84</f>
        <v>LN-10083</v>
      </c>
      <c r="B84" s="6">
        <f>VLOOKUP(A84,Actual_Revenue!A:G,2,FALSE)</f>
        <v>258220</v>
      </c>
      <c r="C84" s="6">
        <f>VLOOKUP(A84,Actual_Revenue!A:G,4,FALSE)</f>
        <v>258220</v>
      </c>
      <c r="D84" s="6">
        <f t="shared" si="1"/>
        <v>0</v>
      </c>
      <c r="E84" s="7">
        <f t="shared" si="2"/>
        <v>0</v>
      </c>
      <c r="F84" s="6">
        <f>VLOOKUP(A84,Actual_Revenue!A:G,3,false)</f>
        <v>25724</v>
      </c>
      <c r="G84" s="6">
        <f>VLOOKUP(A84,Actual_Revenue!A:G,5,false)</f>
        <v>25724</v>
      </c>
      <c r="H84" s="6">
        <f t="shared" si="3"/>
        <v>0</v>
      </c>
      <c r="I84" s="5" t="str">
        <f t="shared" si="4"/>
        <v>MATCHED</v>
      </c>
      <c r="J84" s="5" t="str">
        <f>VLOOKUP(A84,Actual_Revenue!A:G,7,false)</f>
        <v/>
      </c>
    </row>
    <row r="85">
      <c r="A85" s="1" t="str">
        <f>LMS_Loan_Tape!A85</f>
        <v>LN-10084</v>
      </c>
      <c r="B85" s="6">
        <f>VLOOKUP(A85,Actual_Revenue!A:G,2,FALSE)</f>
        <v>377310</v>
      </c>
      <c r="C85" s="6">
        <f>VLOOKUP(A85,Actual_Revenue!A:G,4,FALSE)</f>
        <v>377310</v>
      </c>
      <c r="D85" s="6">
        <f t="shared" si="1"/>
        <v>0</v>
      </c>
      <c r="E85" s="7">
        <f t="shared" si="2"/>
        <v>0</v>
      </c>
      <c r="F85" s="6">
        <f>VLOOKUP(A85,Actual_Revenue!A:G,3,false)</f>
        <v>45072</v>
      </c>
      <c r="G85" s="6">
        <f>VLOOKUP(A85,Actual_Revenue!A:G,5,false)</f>
        <v>45072</v>
      </c>
      <c r="H85" s="6">
        <f t="shared" si="3"/>
        <v>0</v>
      </c>
      <c r="I85" s="5" t="str">
        <f t="shared" si="4"/>
        <v>MATCHED</v>
      </c>
      <c r="J85" s="5" t="str">
        <f>VLOOKUP(A85,Actual_Revenue!A:G,7,false)</f>
        <v/>
      </c>
    </row>
    <row r="86">
      <c r="A86" s="1" t="str">
        <f>LMS_Loan_Tape!A86</f>
        <v>LN-10085</v>
      </c>
      <c r="B86" s="6">
        <f>VLOOKUP(A86,Actual_Revenue!A:G,2,FALSE)</f>
        <v>112602</v>
      </c>
      <c r="C86" s="6">
        <f>VLOOKUP(A86,Actual_Revenue!A:G,4,FALSE)</f>
        <v>67561</v>
      </c>
      <c r="D86" s="6">
        <f t="shared" si="1"/>
        <v>45041</v>
      </c>
      <c r="E86" s="7">
        <f t="shared" si="2"/>
        <v>0.4000017762</v>
      </c>
      <c r="F86" s="6">
        <f>VLOOKUP(A86,Actual_Revenue!A:G,3,false)</f>
        <v>13350</v>
      </c>
      <c r="G86" s="6">
        <f>VLOOKUP(A86,Actual_Revenue!A:G,5,false)</f>
        <v>13350</v>
      </c>
      <c r="H86" s="6">
        <f t="shared" si="3"/>
        <v>0</v>
      </c>
      <c r="I86" s="5" t="str">
        <f t="shared" si="4"/>
        <v>EXCEPTION</v>
      </c>
      <c r="J86" s="5" t="str">
        <f>VLOOKUP(A86,Actual_Revenue!A:G,7,false)</f>
        <v>Partial Payment</v>
      </c>
    </row>
    <row r="87">
      <c r="A87" s="1" t="str">
        <f>LMS_Loan_Tape!A87</f>
        <v>LN-10086</v>
      </c>
      <c r="B87" s="6">
        <f>VLOOKUP(A87,Actual_Revenue!A:G,2,FALSE)</f>
        <v>250633</v>
      </c>
      <c r="C87" s="6">
        <f>VLOOKUP(A87,Actual_Revenue!A:G,4,FALSE)</f>
        <v>250633</v>
      </c>
      <c r="D87" s="6">
        <f t="shared" si="1"/>
        <v>0</v>
      </c>
      <c r="E87" s="7">
        <f t="shared" si="2"/>
        <v>0</v>
      </c>
      <c r="F87" s="6">
        <f>VLOOKUP(A87,Actual_Revenue!A:G,3,false)</f>
        <v>23570</v>
      </c>
      <c r="G87" s="6">
        <f>VLOOKUP(A87,Actual_Revenue!A:G,5,false)</f>
        <v>23570</v>
      </c>
      <c r="H87" s="6">
        <f t="shared" si="3"/>
        <v>0</v>
      </c>
      <c r="I87" s="5" t="str">
        <f t="shared" si="4"/>
        <v>MATCHED</v>
      </c>
      <c r="J87" s="5" t="str">
        <f>VLOOKUP(A87,Actual_Revenue!A:G,7,false)</f>
        <v/>
      </c>
    </row>
    <row r="88">
      <c r="A88" s="1" t="str">
        <f>LMS_Loan_Tape!A88</f>
        <v>LN-10087</v>
      </c>
      <c r="B88" s="6">
        <f>VLOOKUP(A88,Actual_Revenue!A:G,2,FALSE)</f>
        <v>53344</v>
      </c>
      <c r="C88" s="6">
        <f>VLOOKUP(A88,Actual_Revenue!A:G,4,FALSE)</f>
        <v>32006</v>
      </c>
      <c r="D88" s="6">
        <f t="shared" si="1"/>
        <v>21338</v>
      </c>
      <c r="E88" s="7">
        <f t="shared" si="2"/>
        <v>0.4000074985</v>
      </c>
      <c r="F88" s="6">
        <f>VLOOKUP(A88,Actual_Revenue!A:G,3,false)</f>
        <v>10168</v>
      </c>
      <c r="G88" s="6">
        <f>VLOOKUP(A88,Actual_Revenue!A:G,5,false)</f>
        <v>10168</v>
      </c>
      <c r="H88" s="6">
        <f t="shared" si="3"/>
        <v>0</v>
      </c>
      <c r="I88" s="5" t="str">
        <f t="shared" si="4"/>
        <v>EXCEPTION</v>
      </c>
      <c r="J88" s="5" t="str">
        <f>VLOOKUP(A88,Actual_Revenue!A:G,7,false)</f>
        <v>Partial Payment</v>
      </c>
    </row>
    <row r="89">
      <c r="A89" s="1" t="str">
        <f>LMS_Loan_Tape!A89</f>
        <v>LN-10088</v>
      </c>
      <c r="B89" s="6">
        <f>VLOOKUP(A89,Actual_Revenue!A:G,2,FALSE)</f>
        <v>195843</v>
      </c>
      <c r="C89" s="6">
        <f>VLOOKUP(A89,Actual_Revenue!A:G,4,FALSE)</f>
        <v>195843</v>
      </c>
      <c r="D89" s="6">
        <f t="shared" si="1"/>
        <v>0</v>
      </c>
      <c r="E89" s="7">
        <f t="shared" si="2"/>
        <v>0</v>
      </c>
      <c r="F89" s="6">
        <f>VLOOKUP(A89,Actual_Revenue!A:G,3,false)</f>
        <v>34638</v>
      </c>
      <c r="G89" s="6">
        <f>VLOOKUP(A89,Actual_Revenue!A:G,5,false)</f>
        <v>34638</v>
      </c>
      <c r="H89" s="6">
        <f t="shared" si="3"/>
        <v>0</v>
      </c>
      <c r="I89" s="5" t="str">
        <f t="shared" si="4"/>
        <v>MATCHED</v>
      </c>
      <c r="J89" s="5" t="str">
        <f>VLOOKUP(A89,Actual_Revenue!A:G,7,false)</f>
        <v/>
      </c>
    </row>
    <row r="90">
      <c r="A90" s="1" t="str">
        <f>LMS_Loan_Tape!A90</f>
        <v>LN-10089</v>
      </c>
      <c r="B90" s="6">
        <f>VLOOKUP(A90,Actual_Revenue!A:G,2,FALSE)</f>
        <v>157488</v>
      </c>
      <c r="C90" s="6">
        <f>VLOOKUP(A90,Actual_Revenue!A:G,4,FALSE)</f>
        <v>157488</v>
      </c>
      <c r="D90" s="6">
        <f t="shared" si="1"/>
        <v>0</v>
      </c>
      <c r="E90" s="7">
        <f t="shared" si="2"/>
        <v>0</v>
      </c>
      <c r="F90" s="6">
        <f>VLOOKUP(A90,Actual_Revenue!A:G,3,false)</f>
        <v>13272</v>
      </c>
      <c r="G90" s="6">
        <f>VLOOKUP(A90,Actual_Revenue!A:G,5,false)</f>
        <v>13272</v>
      </c>
      <c r="H90" s="6">
        <f t="shared" si="3"/>
        <v>0</v>
      </c>
      <c r="I90" s="5" t="str">
        <f t="shared" si="4"/>
        <v>MATCHED</v>
      </c>
      <c r="J90" s="5" t="str">
        <f>VLOOKUP(A90,Actual_Revenue!A:G,7,false)</f>
        <v/>
      </c>
    </row>
    <row r="91">
      <c r="A91" s="1" t="str">
        <f>LMS_Loan_Tape!A91</f>
        <v>LN-10090</v>
      </c>
      <c r="B91" s="6">
        <f>VLOOKUP(A91,Actual_Revenue!A:G,2,FALSE)</f>
        <v>329332</v>
      </c>
      <c r="C91" s="6">
        <f>VLOOKUP(A91,Actual_Revenue!A:G,4,FALSE)</f>
        <v>329332</v>
      </c>
      <c r="D91" s="6">
        <f t="shared" si="1"/>
        <v>0</v>
      </c>
      <c r="E91" s="7">
        <f t="shared" si="2"/>
        <v>0</v>
      </c>
      <c r="F91" s="6">
        <f>VLOOKUP(A91,Actual_Revenue!A:G,3,false)</f>
        <v>39230</v>
      </c>
      <c r="G91" s="6">
        <f>VLOOKUP(A91,Actual_Revenue!A:G,5,false)</f>
        <v>39230</v>
      </c>
      <c r="H91" s="6">
        <f t="shared" si="3"/>
        <v>0</v>
      </c>
      <c r="I91" s="5" t="str">
        <f t="shared" si="4"/>
        <v>MATCHED</v>
      </c>
      <c r="J91" s="5" t="str">
        <f>VLOOKUP(A91,Actual_Revenue!A:G,7,false)</f>
        <v/>
      </c>
    </row>
    <row r="92">
      <c r="A92" s="1" t="str">
        <f>LMS_Loan_Tape!A92</f>
        <v>LN-10091</v>
      </c>
      <c r="B92" s="6">
        <f>VLOOKUP(A92,Actual_Revenue!A:G,2,FALSE)</f>
        <v>30963</v>
      </c>
      <c r="C92" s="6">
        <f>VLOOKUP(A92,Actual_Revenue!A:G,4,FALSE)</f>
        <v>30343</v>
      </c>
      <c r="D92" s="6">
        <f t="shared" si="1"/>
        <v>620</v>
      </c>
      <c r="E92" s="7">
        <f t="shared" si="2"/>
        <v>0.02002389949</v>
      </c>
      <c r="F92" s="6">
        <f>VLOOKUP(A92,Actual_Revenue!A:G,3,false)</f>
        <v>23097</v>
      </c>
      <c r="G92" s="6">
        <f>VLOOKUP(A92,Actual_Revenue!A:G,5,false)</f>
        <v>23097</v>
      </c>
      <c r="H92" s="6">
        <f t="shared" si="3"/>
        <v>0</v>
      </c>
      <c r="I92" s="5" t="str">
        <f t="shared" si="4"/>
        <v>EXCEPTION</v>
      </c>
      <c r="J92" s="5" t="str">
        <f>VLOOKUP(A92,Actual_Revenue!A:G,7,false)</f>
        <v/>
      </c>
    </row>
    <row r="93">
      <c r="A93" s="1" t="str">
        <f>LMS_Loan_Tape!A93</f>
        <v>LN-10092</v>
      </c>
      <c r="B93" s="6">
        <f>VLOOKUP(A93,Actual_Revenue!A:G,2,FALSE)</f>
        <v>27941</v>
      </c>
      <c r="C93" s="6">
        <f>VLOOKUP(A93,Actual_Revenue!A:G,4,FALSE)</f>
        <v>27941</v>
      </c>
      <c r="D93" s="6">
        <f t="shared" si="1"/>
        <v>0</v>
      </c>
      <c r="E93" s="7">
        <f t="shared" si="2"/>
        <v>0</v>
      </c>
      <c r="F93" s="6">
        <f>VLOOKUP(A93,Actual_Revenue!A:G,3,false)</f>
        <v>4089</v>
      </c>
      <c r="G93" s="6">
        <f>VLOOKUP(A93,Actual_Revenue!A:G,5,false)</f>
        <v>4089</v>
      </c>
      <c r="H93" s="6">
        <f t="shared" si="3"/>
        <v>0</v>
      </c>
      <c r="I93" s="5" t="str">
        <f t="shared" si="4"/>
        <v>MATCHED</v>
      </c>
      <c r="J93" s="5" t="str">
        <f>VLOOKUP(A93,Actual_Revenue!A:G,7,false)</f>
        <v/>
      </c>
    </row>
    <row r="94">
      <c r="A94" s="1" t="str">
        <f>LMS_Loan_Tape!A94</f>
        <v>LN-10093</v>
      </c>
      <c r="B94" s="6">
        <f>VLOOKUP(A94,Actual_Revenue!A:G,2,FALSE)</f>
        <v>43894</v>
      </c>
      <c r="C94" s="6">
        <f>VLOOKUP(A94,Actual_Revenue!A:G,4,FALSE)</f>
        <v>35115</v>
      </c>
      <c r="D94" s="6">
        <f t="shared" si="1"/>
        <v>8779</v>
      </c>
      <c r="E94" s="7">
        <f t="shared" si="2"/>
        <v>0.2000045564</v>
      </c>
      <c r="F94" s="6">
        <f>VLOOKUP(A94,Actual_Revenue!A:G,3,false)</f>
        <v>53579</v>
      </c>
      <c r="G94" s="6">
        <f>VLOOKUP(A94,Actual_Revenue!A:G,5,false)</f>
        <v>53579</v>
      </c>
      <c r="H94" s="6">
        <f t="shared" si="3"/>
        <v>0</v>
      </c>
      <c r="I94" s="5" t="str">
        <f t="shared" si="4"/>
        <v>EXCEPTION</v>
      </c>
      <c r="J94" s="5" t="str">
        <f>VLOOKUP(A94,Actual_Revenue!A:G,7,false)</f>
        <v>Prepayment</v>
      </c>
    </row>
    <row r="95">
      <c r="A95" s="1" t="str">
        <f>LMS_Loan_Tape!A95</f>
        <v>LN-10094</v>
      </c>
      <c r="B95" s="6">
        <f>VLOOKUP(A95,Actual_Revenue!A:G,2,FALSE)</f>
        <v>28784</v>
      </c>
      <c r="C95" s="6">
        <f>VLOOKUP(A95,Actual_Revenue!A:G,4,FALSE)</f>
        <v>28784</v>
      </c>
      <c r="D95" s="6">
        <f t="shared" si="1"/>
        <v>0</v>
      </c>
      <c r="E95" s="7">
        <f t="shared" si="2"/>
        <v>0</v>
      </c>
      <c r="F95" s="6">
        <f>VLOOKUP(A95,Actual_Revenue!A:G,3,false)</f>
        <v>2485</v>
      </c>
      <c r="G95" s="6">
        <f>VLOOKUP(A95,Actual_Revenue!A:G,5,false)</f>
        <v>2485</v>
      </c>
      <c r="H95" s="6">
        <f t="shared" si="3"/>
        <v>0</v>
      </c>
      <c r="I95" s="5" t="str">
        <f t="shared" si="4"/>
        <v>MATCHED</v>
      </c>
      <c r="J95" s="5" t="str">
        <f>VLOOKUP(A95,Actual_Revenue!A:G,7,false)</f>
        <v/>
      </c>
    </row>
    <row r="96">
      <c r="A96" s="1" t="str">
        <f>LMS_Loan_Tape!A96</f>
        <v>LN-10095</v>
      </c>
      <c r="B96" s="6">
        <f>VLOOKUP(A96,Actual_Revenue!A:G,2,FALSE)</f>
        <v>74252</v>
      </c>
      <c r="C96" s="6">
        <f>VLOOKUP(A96,Actual_Revenue!A:G,4,FALSE)</f>
        <v>74252</v>
      </c>
      <c r="D96" s="6">
        <f t="shared" si="1"/>
        <v>0</v>
      </c>
      <c r="E96" s="7">
        <f t="shared" si="2"/>
        <v>0</v>
      </c>
      <c r="F96" s="6">
        <f>VLOOKUP(A96,Actual_Revenue!A:G,3,false)</f>
        <v>9675</v>
      </c>
      <c r="G96" s="6">
        <f>VLOOKUP(A96,Actual_Revenue!A:G,5,false)</f>
        <v>9675</v>
      </c>
      <c r="H96" s="6">
        <f t="shared" si="3"/>
        <v>0</v>
      </c>
      <c r="I96" s="5" t="str">
        <f t="shared" si="4"/>
        <v>MATCHED</v>
      </c>
      <c r="J96" s="5" t="str">
        <f>VLOOKUP(A96,Actual_Revenue!A:G,7,false)</f>
        <v/>
      </c>
    </row>
    <row r="97">
      <c r="A97" s="1" t="str">
        <f>LMS_Loan_Tape!A97</f>
        <v>LN-10096</v>
      </c>
      <c r="B97" s="6">
        <f>VLOOKUP(A97,Actual_Revenue!A:G,2,FALSE)</f>
        <v>156661</v>
      </c>
      <c r="C97" s="6">
        <f>VLOOKUP(A97,Actual_Revenue!A:G,4,FALSE)</f>
        <v>156661</v>
      </c>
      <c r="D97" s="6">
        <f t="shared" si="1"/>
        <v>0</v>
      </c>
      <c r="E97" s="7">
        <f t="shared" si="2"/>
        <v>0</v>
      </c>
      <c r="F97" s="6">
        <f>VLOOKUP(A97,Actual_Revenue!A:G,3,false)</f>
        <v>18183</v>
      </c>
      <c r="G97" s="6">
        <f>VLOOKUP(A97,Actual_Revenue!A:G,5,false)</f>
        <v>18183</v>
      </c>
      <c r="H97" s="6">
        <f t="shared" si="3"/>
        <v>0</v>
      </c>
      <c r="I97" s="5" t="str">
        <f t="shared" si="4"/>
        <v>MATCHED</v>
      </c>
      <c r="J97" s="5" t="str">
        <f>VLOOKUP(A97,Actual_Revenue!A:G,7,false)</f>
        <v/>
      </c>
    </row>
    <row r="98">
      <c r="A98" s="1" t="str">
        <f>LMS_Loan_Tape!A98</f>
        <v>LN-10097</v>
      </c>
      <c r="B98" s="6">
        <f>VLOOKUP(A98,Actual_Revenue!A:G,2,FALSE)</f>
        <v>286683</v>
      </c>
      <c r="C98" s="6">
        <f>VLOOKUP(A98,Actual_Revenue!A:G,4,FALSE)</f>
        <v>286683</v>
      </c>
      <c r="D98" s="6">
        <f t="shared" si="1"/>
        <v>0</v>
      </c>
      <c r="E98" s="7">
        <f t="shared" si="2"/>
        <v>0</v>
      </c>
      <c r="F98" s="6">
        <f>VLOOKUP(A98,Actual_Revenue!A:G,3,false)</f>
        <v>45617</v>
      </c>
      <c r="G98" s="6">
        <f>VLOOKUP(A98,Actual_Revenue!A:G,5,false)</f>
        <v>45160</v>
      </c>
      <c r="H98" s="6">
        <f t="shared" si="3"/>
        <v>457</v>
      </c>
      <c r="I98" s="5" t="str">
        <f t="shared" si="4"/>
        <v>EXCEPTION</v>
      </c>
      <c r="J98" s="5" t="str">
        <f>VLOOKUP(A98,Actual_Revenue!A:G,7,false)</f>
        <v/>
      </c>
    </row>
    <row r="99">
      <c r="A99" s="1" t="str">
        <f>LMS_Loan_Tape!A99</f>
        <v>LN-10098</v>
      </c>
      <c r="B99" s="6">
        <f>VLOOKUP(A99,Actual_Revenue!A:G,2,FALSE)</f>
        <v>188079</v>
      </c>
      <c r="C99" s="6">
        <f>VLOOKUP(A99,Actual_Revenue!A:G,4,FALSE)</f>
        <v>188079</v>
      </c>
      <c r="D99" s="6">
        <f t="shared" si="1"/>
        <v>0</v>
      </c>
      <c r="E99" s="7">
        <f t="shared" si="2"/>
        <v>0</v>
      </c>
      <c r="F99" s="6">
        <f>VLOOKUP(A99,Actual_Revenue!A:G,3,false)</f>
        <v>18362</v>
      </c>
      <c r="G99" s="6">
        <f>VLOOKUP(A99,Actual_Revenue!A:G,5,false)</f>
        <v>18178</v>
      </c>
      <c r="H99" s="6">
        <f t="shared" si="3"/>
        <v>184</v>
      </c>
      <c r="I99" s="5" t="str">
        <f t="shared" si="4"/>
        <v>EXCEPTION</v>
      </c>
      <c r="J99" s="5" t="str">
        <f>VLOOKUP(A99,Actual_Revenue!A:G,7,false)</f>
        <v/>
      </c>
    </row>
    <row r="100">
      <c r="A100" s="1" t="str">
        <f>LMS_Loan_Tape!A100</f>
        <v>LN-10099</v>
      </c>
      <c r="B100" s="6">
        <f>VLOOKUP(A100,Actual_Revenue!A:G,2,FALSE)</f>
        <v>92156</v>
      </c>
      <c r="C100" s="6">
        <f>VLOOKUP(A100,Actual_Revenue!A:G,4,FALSE)</f>
        <v>92156</v>
      </c>
      <c r="D100" s="6">
        <f t="shared" si="1"/>
        <v>0</v>
      </c>
      <c r="E100" s="7">
        <f t="shared" si="2"/>
        <v>0</v>
      </c>
      <c r="F100" s="6">
        <f>VLOOKUP(A100,Actual_Revenue!A:G,3,false)</f>
        <v>56714</v>
      </c>
      <c r="G100" s="6">
        <f>VLOOKUP(A100,Actual_Revenue!A:G,5,false)</f>
        <v>56714</v>
      </c>
      <c r="H100" s="6">
        <f t="shared" si="3"/>
        <v>0</v>
      </c>
      <c r="I100" s="5" t="str">
        <f t="shared" si="4"/>
        <v>MATCHED</v>
      </c>
      <c r="J100" s="5" t="str">
        <f>VLOOKUP(A100,Actual_Revenue!A:G,7,false)</f>
        <v/>
      </c>
    </row>
    <row r="101">
      <c r="A101" s="1" t="str">
        <f>LMS_Loan_Tape!A101</f>
        <v>LN-10100</v>
      </c>
      <c r="B101" s="6">
        <f>VLOOKUP(A101,Actual_Revenue!A:G,2,FALSE)</f>
        <v>377282</v>
      </c>
      <c r="C101" s="6">
        <f>VLOOKUP(A101,Actual_Revenue!A:G,4,FALSE)</f>
        <v>377282</v>
      </c>
      <c r="D101" s="6">
        <f t="shared" si="1"/>
        <v>0</v>
      </c>
      <c r="E101" s="7">
        <f t="shared" si="2"/>
        <v>0</v>
      </c>
      <c r="F101" s="6">
        <f>VLOOKUP(A101,Actual_Revenue!A:G,3,false)</f>
        <v>41407</v>
      </c>
      <c r="G101" s="6">
        <f>VLOOKUP(A101,Actual_Revenue!A:G,5,false)</f>
        <v>41407</v>
      </c>
      <c r="H101" s="6">
        <f t="shared" si="3"/>
        <v>0</v>
      </c>
      <c r="I101" s="5" t="str">
        <f t="shared" si="4"/>
        <v>MATCHED</v>
      </c>
      <c r="J101" s="5" t="str">
        <f>VLOOKUP(A101,Actual_Revenue!A:G,7,false)</f>
        <v/>
      </c>
    </row>
    <row r="102">
      <c r="A102" s="1" t="str">
        <f>LMS_Loan_Tape!A102</f>
        <v>LN-10101</v>
      </c>
      <c r="B102" s="6">
        <f>VLOOKUP(A102,Actual_Revenue!A:G,2,FALSE)</f>
        <v>189527</v>
      </c>
      <c r="C102" s="6">
        <f>VLOOKUP(A102,Actual_Revenue!A:G,4,FALSE)</f>
        <v>189527</v>
      </c>
      <c r="D102" s="6">
        <f t="shared" si="1"/>
        <v>0</v>
      </c>
      <c r="E102" s="7">
        <f t="shared" si="2"/>
        <v>0</v>
      </c>
      <c r="F102" s="6">
        <f>VLOOKUP(A102,Actual_Revenue!A:G,3,false)</f>
        <v>18099</v>
      </c>
      <c r="G102" s="6">
        <f>VLOOKUP(A102,Actual_Revenue!A:G,5,false)</f>
        <v>18099</v>
      </c>
      <c r="H102" s="6">
        <f t="shared" si="3"/>
        <v>0</v>
      </c>
      <c r="I102" s="5" t="str">
        <f t="shared" si="4"/>
        <v>MATCHED</v>
      </c>
      <c r="J102" s="5" t="str">
        <f>VLOOKUP(A102,Actual_Revenue!A:G,7,false)</f>
        <v/>
      </c>
    </row>
    <row r="103">
      <c r="A103" s="1" t="str">
        <f>LMS_Loan_Tape!A103</f>
        <v>LN-10102</v>
      </c>
      <c r="B103" s="6">
        <f>VLOOKUP(A103,Actual_Revenue!A:G,2,FALSE)</f>
        <v>333909</v>
      </c>
      <c r="C103" s="6">
        <f>VLOOKUP(A103,Actual_Revenue!A:G,4,FALSE)</f>
        <v>300518</v>
      </c>
      <c r="D103" s="6">
        <f t="shared" si="1"/>
        <v>33391</v>
      </c>
      <c r="E103" s="7">
        <f t="shared" si="2"/>
        <v>0.1000002995</v>
      </c>
      <c r="F103" s="6">
        <f>VLOOKUP(A103,Actual_Revenue!A:G,3,false)</f>
        <v>41478</v>
      </c>
      <c r="G103" s="6">
        <f>VLOOKUP(A103,Actual_Revenue!A:G,5,false)</f>
        <v>20739</v>
      </c>
      <c r="H103" s="6">
        <f t="shared" si="3"/>
        <v>20739</v>
      </c>
      <c r="I103" s="5" t="str">
        <f t="shared" si="4"/>
        <v>EXCEPTION</v>
      </c>
      <c r="J103" s="5" t="str">
        <f>VLOOKUP(A103,Actual_Revenue!A:G,7,false)</f>
        <v>Waiver Applied</v>
      </c>
    </row>
    <row r="104">
      <c r="A104" s="1" t="str">
        <f>LMS_Loan_Tape!A104</f>
        <v>LN-10103</v>
      </c>
      <c r="B104" s="6">
        <f>VLOOKUP(A104,Actual_Revenue!A:G,2,FALSE)</f>
        <v>57785</v>
      </c>
      <c r="C104" s="6">
        <f>VLOOKUP(A104,Actual_Revenue!A:G,4,FALSE)</f>
        <v>57785</v>
      </c>
      <c r="D104" s="6">
        <f t="shared" si="1"/>
        <v>0</v>
      </c>
      <c r="E104" s="7">
        <f t="shared" si="2"/>
        <v>0</v>
      </c>
      <c r="F104" s="6">
        <f>VLOOKUP(A104,Actual_Revenue!A:G,3,false)</f>
        <v>6250</v>
      </c>
      <c r="G104" s="6">
        <f>VLOOKUP(A104,Actual_Revenue!A:G,5,false)</f>
        <v>6250</v>
      </c>
      <c r="H104" s="6">
        <f t="shared" si="3"/>
        <v>0</v>
      </c>
      <c r="I104" s="5" t="str">
        <f t="shared" si="4"/>
        <v>MATCHED</v>
      </c>
      <c r="J104" s="5" t="str">
        <f>VLOOKUP(A104,Actual_Revenue!A:G,7,false)</f>
        <v/>
      </c>
    </row>
    <row r="105">
      <c r="A105" s="1" t="str">
        <f>LMS_Loan_Tape!A105</f>
        <v>LN-10104</v>
      </c>
      <c r="B105" s="6">
        <f>VLOOKUP(A105,Actual_Revenue!A:G,2,FALSE)</f>
        <v>337558</v>
      </c>
      <c r="C105" s="6">
        <f>VLOOKUP(A105,Actual_Revenue!A:G,4,FALSE)</f>
        <v>337558</v>
      </c>
      <c r="D105" s="6">
        <f t="shared" si="1"/>
        <v>0</v>
      </c>
      <c r="E105" s="7">
        <f t="shared" si="2"/>
        <v>0</v>
      </c>
      <c r="F105" s="6">
        <f>VLOOKUP(A105,Actual_Revenue!A:G,3,false)</f>
        <v>45339</v>
      </c>
      <c r="G105" s="6">
        <f>VLOOKUP(A105,Actual_Revenue!A:G,5,false)</f>
        <v>45339</v>
      </c>
      <c r="H105" s="6">
        <f t="shared" si="3"/>
        <v>0</v>
      </c>
      <c r="I105" s="5" t="str">
        <f t="shared" si="4"/>
        <v>MATCHED</v>
      </c>
      <c r="J105" s="5" t="str">
        <f>VLOOKUP(A105,Actual_Revenue!A:G,7,false)</f>
        <v/>
      </c>
    </row>
    <row r="106">
      <c r="A106" s="1" t="str">
        <f>LMS_Loan_Tape!A106</f>
        <v>LN-10105</v>
      </c>
      <c r="B106" s="6">
        <f>VLOOKUP(A106,Actual_Revenue!A:G,2,FALSE)</f>
        <v>78377</v>
      </c>
      <c r="C106" s="6">
        <f>VLOOKUP(A106,Actual_Revenue!A:G,4,FALSE)</f>
        <v>70539</v>
      </c>
      <c r="D106" s="6">
        <f t="shared" si="1"/>
        <v>7838</v>
      </c>
      <c r="E106" s="7">
        <f t="shared" si="2"/>
        <v>0.1000038277</v>
      </c>
      <c r="F106" s="6">
        <f>VLOOKUP(A106,Actual_Revenue!A:G,3,false)</f>
        <v>20750</v>
      </c>
      <c r="G106" s="6">
        <f>VLOOKUP(A106,Actual_Revenue!A:G,5,false)</f>
        <v>10375</v>
      </c>
      <c r="H106" s="6">
        <f t="shared" si="3"/>
        <v>10375</v>
      </c>
      <c r="I106" s="5" t="str">
        <f t="shared" si="4"/>
        <v>EXCEPTION</v>
      </c>
      <c r="J106" s="5" t="str">
        <f>VLOOKUP(A106,Actual_Revenue!A:G,7,false)</f>
        <v>Waiver Applied</v>
      </c>
    </row>
    <row r="107">
      <c r="A107" s="1" t="str">
        <f>LMS_Loan_Tape!A107</f>
        <v>LN-10106</v>
      </c>
      <c r="B107" s="6">
        <f>VLOOKUP(A107,Actual_Revenue!A:G,2,FALSE)</f>
        <v>74702</v>
      </c>
      <c r="C107" s="6">
        <f>VLOOKUP(A107,Actual_Revenue!A:G,4,FALSE)</f>
        <v>74702</v>
      </c>
      <c r="D107" s="6">
        <f t="shared" si="1"/>
        <v>0</v>
      </c>
      <c r="E107" s="7">
        <f t="shared" si="2"/>
        <v>0</v>
      </c>
      <c r="F107" s="6">
        <f>VLOOKUP(A107,Actual_Revenue!A:G,3,false)</f>
        <v>20937</v>
      </c>
      <c r="G107" s="6">
        <f>VLOOKUP(A107,Actual_Revenue!A:G,5,false)</f>
        <v>20937</v>
      </c>
      <c r="H107" s="6">
        <f t="shared" si="3"/>
        <v>0</v>
      </c>
      <c r="I107" s="5" t="str">
        <f t="shared" si="4"/>
        <v>MATCHED</v>
      </c>
      <c r="J107" s="5" t="str">
        <f>VLOOKUP(A107,Actual_Revenue!A:G,7,false)</f>
        <v/>
      </c>
    </row>
    <row r="108">
      <c r="A108" s="1" t="str">
        <f>LMS_Loan_Tape!A108</f>
        <v>LN-10107</v>
      </c>
      <c r="B108" s="6">
        <f>VLOOKUP(A108,Actual_Revenue!A:G,2,FALSE)</f>
        <v>54682</v>
      </c>
      <c r="C108" s="6">
        <f>VLOOKUP(A108,Actual_Revenue!A:G,4,FALSE)</f>
        <v>54682</v>
      </c>
      <c r="D108" s="6">
        <f t="shared" si="1"/>
        <v>0</v>
      </c>
      <c r="E108" s="7">
        <f t="shared" si="2"/>
        <v>0</v>
      </c>
      <c r="F108" s="6">
        <f>VLOOKUP(A108,Actual_Revenue!A:G,3,false)</f>
        <v>20237</v>
      </c>
      <c r="G108" s="6">
        <f>VLOOKUP(A108,Actual_Revenue!A:G,5,false)</f>
        <v>20237</v>
      </c>
      <c r="H108" s="6">
        <f t="shared" si="3"/>
        <v>0</v>
      </c>
      <c r="I108" s="5" t="str">
        <f t="shared" si="4"/>
        <v>MATCHED</v>
      </c>
      <c r="J108" s="5" t="str">
        <f>VLOOKUP(A108,Actual_Revenue!A:G,7,false)</f>
        <v/>
      </c>
    </row>
    <row r="109">
      <c r="A109" s="1" t="str">
        <f>LMS_Loan_Tape!A109</f>
        <v>LN-10108</v>
      </c>
      <c r="B109" s="6">
        <f>VLOOKUP(A109,Actual_Revenue!A:G,2,FALSE)</f>
        <v>329725</v>
      </c>
      <c r="C109" s="6">
        <f>VLOOKUP(A109,Actual_Revenue!A:G,4,FALSE)</f>
        <v>329725</v>
      </c>
      <c r="D109" s="6">
        <f t="shared" si="1"/>
        <v>0</v>
      </c>
      <c r="E109" s="7">
        <f t="shared" si="2"/>
        <v>0</v>
      </c>
      <c r="F109" s="6">
        <f>VLOOKUP(A109,Actual_Revenue!A:G,3,false)</f>
        <v>42929</v>
      </c>
      <c r="G109" s="6">
        <f>VLOOKUP(A109,Actual_Revenue!A:G,5,false)</f>
        <v>42929</v>
      </c>
      <c r="H109" s="6">
        <f t="shared" si="3"/>
        <v>0</v>
      </c>
      <c r="I109" s="5" t="str">
        <f t="shared" si="4"/>
        <v>MATCHED</v>
      </c>
      <c r="J109" s="5" t="str">
        <f>VLOOKUP(A109,Actual_Revenue!A:G,7,false)</f>
        <v/>
      </c>
    </row>
    <row r="110">
      <c r="A110" s="1" t="str">
        <f>LMS_Loan_Tape!A110</f>
        <v>LN-10109</v>
      </c>
      <c r="B110" s="6">
        <f>VLOOKUP(A110,Actual_Revenue!A:G,2,FALSE)</f>
        <v>110219</v>
      </c>
      <c r="C110" s="6">
        <f>VLOOKUP(A110,Actual_Revenue!A:G,4,FALSE)</f>
        <v>110219</v>
      </c>
      <c r="D110" s="6">
        <f t="shared" si="1"/>
        <v>0</v>
      </c>
      <c r="E110" s="7">
        <f t="shared" si="2"/>
        <v>0</v>
      </c>
      <c r="F110" s="6">
        <f>VLOOKUP(A110,Actual_Revenue!A:G,3,false)</f>
        <v>27696</v>
      </c>
      <c r="G110" s="6">
        <f>VLOOKUP(A110,Actual_Revenue!A:G,5,false)</f>
        <v>27696</v>
      </c>
      <c r="H110" s="6">
        <f t="shared" si="3"/>
        <v>0</v>
      </c>
      <c r="I110" s="5" t="str">
        <f t="shared" si="4"/>
        <v>MATCHED</v>
      </c>
      <c r="J110" s="5" t="str">
        <f>VLOOKUP(A110,Actual_Revenue!A:G,7,false)</f>
        <v/>
      </c>
    </row>
    <row r="111">
      <c r="A111" s="1" t="str">
        <f>LMS_Loan_Tape!A111</f>
        <v>LN-10110</v>
      </c>
      <c r="B111" s="6">
        <f>VLOOKUP(A111,Actual_Revenue!A:G,2,FALSE)</f>
        <v>105195</v>
      </c>
      <c r="C111" s="6">
        <f>VLOOKUP(A111,Actual_Revenue!A:G,4,FALSE)</f>
        <v>105791</v>
      </c>
      <c r="D111" s="6">
        <f t="shared" si="1"/>
        <v>-596</v>
      </c>
      <c r="E111" s="7">
        <f t="shared" si="2"/>
        <v>-0.00566566852</v>
      </c>
      <c r="F111" s="6">
        <f>VLOOKUP(A111,Actual_Revenue!A:G,3,false)</f>
        <v>31570</v>
      </c>
      <c r="G111" s="6">
        <f>VLOOKUP(A111,Actual_Revenue!A:G,5,false)</f>
        <v>31570</v>
      </c>
      <c r="H111" s="6">
        <f t="shared" si="3"/>
        <v>0</v>
      </c>
      <c r="I111" s="5" t="str">
        <f t="shared" si="4"/>
        <v>EXCEPTION</v>
      </c>
      <c r="J111" s="5" t="str">
        <f>VLOOKUP(A111,Actual_Revenue!A:G,7,false)</f>
        <v>System Error</v>
      </c>
    </row>
    <row r="112">
      <c r="A112" s="1" t="str">
        <f>LMS_Loan_Tape!A112</f>
        <v>LN-10111</v>
      </c>
      <c r="B112" s="6">
        <f>VLOOKUP(A112,Actual_Revenue!A:G,2,FALSE)</f>
        <v>249632</v>
      </c>
      <c r="C112" s="6">
        <f>VLOOKUP(A112,Actual_Revenue!A:G,4,FALSE)</f>
        <v>249632</v>
      </c>
      <c r="D112" s="6">
        <f t="shared" si="1"/>
        <v>0</v>
      </c>
      <c r="E112" s="7">
        <f t="shared" si="2"/>
        <v>0</v>
      </c>
      <c r="F112" s="6">
        <f>VLOOKUP(A112,Actual_Revenue!A:G,3,false)</f>
        <v>13013</v>
      </c>
      <c r="G112" s="6">
        <f>VLOOKUP(A112,Actual_Revenue!A:G,5,false)</f>
        <v>13013</v>
      </c>
      <c r="H112" s="6">
        <f t="shared" si="3"/>
        <v>0</v>
      </c>
      <c r="I112" s="5" t="str">
        <f t="shared" si="4"/>
        <v>MATCHED</v>
      </c>
      <c r="J112" s="5" t="str">
        <f>VLOOKUP(A112,Actual_Revenue!A:G,7,false)</f>
        <v/>
      </c>
    </row>
    <row r="113">
      <c r="A113" s="1" t="str">
        <f>LMS_Loan_Tape!A113</f>
        <v>LN-10112</v>
      </c>
      <c r="B113" s="6">
        <f>VLOOKUP(A113,Actual_Revenue!A:G,2,FALSE)</f>
        <v>371857</v>
      </c>
      <c r="C113" s="6">
        <f>VLOOKUP(A113,Actual_Revenue!A:G,4,FALSE)</f>
        <v>371857</v>
      </c>
      <c r="D113" s="6">
        <f t="shared" si="1"/>
        <v>0</v>
      </c>
      <c r="E113" s="7">
        <f t="shared" si="2"/>
        <v>0</v>
      </c>
      <c r="F113" s="6">
        <f>VLOOKUP(A113,Actual_Revenue!A:G,3,false)</f>
        <v>27925</v>
      </c>
      <c r="G113" s="6">
        <f>VLOOKUP(A113,Actual_Revenue!A:G,5,false)</f>
        <v>27925</v>
      </c>
      <c r="H113" s="6">
        <f t="shared" si="3"/>
        <v>0</v>
      </c>
      <c r="I113" s="5" t="str">
        <f t="shared" si="4"/>
        <v>MATCHED</v>
      </c>
      <c r="J113" s="5" t="str">
        <f>VLOOKUP(A113,Actual_Revenue!A:G,7,false)</f>
        <v/>
      </c>
    </row>
    <row r="114">
      <c r="A114" s="1" t="str">
        <f>LMS_Loan_Tape!A114</f>
        <v>LN-10113</v>
      </c>
      <c r="B114" s="6">
        <f>VLOOKUP(A114,Actual_Revenue!A:G,2,FALSE)</f>
        <v>348218</v>
      </c>
      <c r="C114" s="6">
        <f>VLOOKUP(A114,Actual_Revenue!A:G,4,FALSE)</f>
        <v>348218</v>
      </c>
      <c r="D114" s="6">
        <f t="shared" si="1"/>
        <v>0</v>
      </c>
      <c r="E114" s="7">
        <f t="shared" si="2"/>
        <v>0</v>
      </c>
      <c r="F114" s="6">
        <f>VLOOKUP(A114,Actual_Revenue!A:G,3,false)</f>
        <v>17661</v>
      </c>
      <c r="G114" s="6">
        <f>VLOOKUP(A114,Actual_Revenue!A:G,5,false)</f>
        <v>17661</v>
      </c>
      <c r="H114" s="6">
        <f t="shared" si="3"/>
        <v>0</v>
      </c>
      <c r="I114" s="5" t="str">
        <f t="shared" si="4"/>
        <v>MATCHED</v>
      </c>
      <c r="J114" s="5" t="str">
        <f>VLOOKUP(A114,Actual_Revenue!A:G,7,false)</f>
        <v/>
      </c>
    </row>
    <row r="115">
      <c r="A115" s="1" t="str">
        <f>LMS_Loan_Tape!A115</f>
        <v>LN-10114</v>
      </c>
      <c r="B115" s="6">
        <f>VLOOKUP(A115,Actual_Revenue!A:G,2,FALSE)</f>
        <v>99456</v>
      </c>
      <c r="C115" s="6">
        <f>VLOOKUP(A115,Actual_Revenue!A:G,4,FALSE)</f>
        <v>99456</v>
      </c>
      <c r="D115" s="6">
        <f t="shared" si="1"/>
        <v>0</v>
      </c>
      <c r="E115" s="7">
        <f t="shared" si="2"/>
        <v>0</v>
      </c>
      <c r="F115" s="6">
        <f>VLOOKUP(A115,Actual_Revenue!A:G,3,false)</f>
        <v>15935</v>
      </c>
      <c r="G115" s="6">
        <f>VLOOKUP(A115,Actual_Revenue!A:G,5,false)</f>
        <v>15935</v>
      </c>
      <c r="H115" s="6">
        <f t="shared" si="3"/>
        <v>0</v>
      </c>
      <c r="I115" s="5" t="str">
        <f t="shared" si="4"/>
        <v>MATCHED</v>
      </c>
      <c r="J115" s="5" t="str">
        <f>VLOOKUP(A115,Actual_Revenue!A:G,7,false)</f>
        <v/>
      </c>
    </row>
    <row r="116">
      <c r="A116" s="1" t="str">
        <f>LMS_Loan_Tape!A116</f>
        <v>LN-10115</v>
      </c>
      <c r="B116" s="6">
        <f>VLOOKUP(A116,Actual_Revenue!A:G,2,FALSE)</f>
        <v>46226</v>
      </c>
      <c r="C116" s="6">
        <f>VLOOKUP(A116,Actual_Revenue!A:G,4,FALSE)</f>
        <v>46226</v>
      </c>
      <c r="D116" s="6">
        <f t="shared" si="1"/>
        <v>0</v>
      </c>
      <c r="E116" s="7">
        <f t="shared" si="2"/>
        <v>0</v>
      </c>
      <c r="F116" s="6">
        <f>VLOOKUP(A116,Actual_Revenue!A:G,3,false)</f>
        <v>7201</v>
      </c>
      <c r="G116" s="6">
        <f>VLOOKUP(A116,Actual_Revenue!A:G,5,false)</f>
        <v>7201</v>
      </c>
      <c r="H116" s="6">
        <f t="shared" si="3"/>
        <v>0</v>
      </c>
      <c r="I116" s="5" t="str">
        <f t="shared" si="4"/>
        <v>MATCHED</v>
      </c>
      <c r="J116" s="5" t="str">
        <f>VLOOKUP(A116,Actual_Revenue!A:G,7,false)</f>
        <v/>
      </c>
    </row>
    <row r="117">
      <c r="A117" s="1" t="str">
        <f>LMS_Loan_Tape!A117</f>
        <v>LN-10116</v>
      </c>
      <c r="B117" s="6">
        <f>VLOOKUP(A117,Actual_Revenue!A:G,2,FALSE)</f>
        <v>16456</v>
      </c>
      <c r="C117" s="6">
        <f>VLOOKUP(A117,Actual_Revenue!A:G,4,FALSE)</f>
        <v>16456</v>
      </c>
      <c r="D117" s="6">
        <f t="shared" si="1"/>
        <v>0</v>
      </c>
      <c r="E117" s="7">
        <f t="shared" si="2"/>
        <v>0</v>
      </c>
      <c r="F117" s="6">
        <f>VLOOKUP(A117,Actual_Revenue!A:G,3,false)</f>
        <v>3559</v>
      </c>
      <c r="G117" s="6">
        <f>VLOOKUP(A117,Actual_Revenue!A:G,5,false)</f>
        <v>3559</v>
      </c>
      <c r="H117" s="6">
        <f t="shared" si="3"/>
        <v>0</v>
      </c>
      <c r="I117" s="5" t="str">
        <f t="shared" si="4"/>
        <v>MATCHED</v>
      </c>
      <c r="J117" s="5" t="str">
        <f>VLOOKUP(A117,Actual_Revenue!A:G,7,false)</f>
        <v/>
      </c>
    </row>
    <row r="118">
      <c r="A118" s="1" t="str">
        <f>LMS_Loan_Tape!A118</f>
        <v>LN-10117</v>
      </c>
      <c r="B118" s="6">
        <f>VLOOKUP(A118,Actual_Revenue!A:G,2,FALSE)</f>
        <v>42400</v>
      </c>
      <c r="C118" s="6">
        <f>VLOOKUP(A118,Actual_Revenue!A:G,4,FALSE)</f>
        <v>42400</v>
      </c>
      <c r="D118" s="6">
        <f t="shared" si="1"/>
        <v>0</v>
      </c>
      <c r="E118" s="7">
        <f t="shared" si="2"/>
        <v>0</v>
      </c>
      <c r="F118" s="6">
        <f>VLOOKUP(A118,Actual_Revenue!A:G,3,false)</f>
        <v>4188</v>
      </c>
      <c r="G118" s="6">
        <f>VLOOKUP(A118,Actual_Revenue!A:G,5,false)</f>
        <v>4188</v>
      </c>
      <c r="H118" s="6">
        <f t="shared" si="3"/>
        <v>0</v>
      </c>
      <c r="I118" s="5" t="str">
        <f t="shared" si="4"/>
        <v>MATCHED</v>
      </c>
      <c r="J118" s="5" t="str">
        <f>VLOOKUP(A118,Actual_Revenue!A:G,7,false)</f>
        <v/>
      </c>
    </row>
    <row r="119">
      <c r="A119" s="1" t="str">
        <f>LMS_Loan_Tape!A119</f>
        <v>LN-10118</v>
      </c>
      <c r="B119" s="6">
        <f>VLOOKUP(A119,Actual_Revenue!A:G,2,FALSE)</f>
        <v>11813</v>
      </c>
      <c r="C119" s="6">
        <f>VLOOKUP(A119,Actual_Revenue!A:G,4,FALSE)</f>
        <v>10631</v>
      </c>
      <c r="D119" s="6">
        <f t="shared" si="1"/>
        <v>1182</v>
      </c>
      <c r="E119" s="7">
        <f t="shared" si="2"/>
        <v>0.1000592568</v>
      </c>
      <c r="F119" s="6">
        <f>VLOOKUP(A119,Actual_Revenue!A:G,3,false)</f>
        <v>12323</v>
      </c>
      <c r="G119" s="6">
        <f>VLOOKUP(A119,Actual_Revenue!A:G,5,false)</f>
        <v>6161</v>
      </c>
      <c r="H119" s="6">
        <f t="shared" si="3"/>
        <v>6162</v>
      </c>
      <c r="I119" s="5" t="str">
        <f t="shared" si="4"/>
        <v>EXCEPTION</v>
      </c>
      <c r="J119" s="5" t="str">
        <f>VLOOKUP(A119,Actual_Revenue!A:G,7,false)</f>
        <v>Waiver Applied</v>
      </c>
    </row>
    <row r="120">
      <c r="A120" s="1" t="str">
        <f>LMS_Loan_Tape!A120</f>
        <v>LN-10119</v>
      </c>
      <c r="B120" s="6">
        <f>VLOOKUP(A120,Actual_Revenue!A:G,2,FALSE)</f>
        <v>29873</v>
      </c>
      <c r="C120" s="6">
        <f>VLOOKUP(A120,Actual_Revenue!A:G,4,FALSE)</f>
        <v>29873</v>
      </c>
      <c r="D120" s="6">
        <f t="shared" si="1"/>
        <v>0</v>
      </c>
      <c r="E120" s="7">
        <f t="shared" si="2"/>
        <v>0</v>
      </c>
      <c r="F120" s="6">
        <f>VLOOKUP(A120,Actual_Revenue!A:G,3,false)</f>
        <v>3344</v>
      </c>
      <c r="G120" s="6">
        <f>VLOOKUP(A120,Actual_Revenue!A:G,5,false)</f>
        <v>3344</v>
      </c>
      <c r="H120" s="6">
        <f t="shared" si="3"/>
        <v>0</v>
      </c>
      <c r="I120" s="5" t="str">
        <f t="shared" si="4"/>
        <v>MATCHED</v>
      </c>
      <c r="J120" s="5" t="str">
        <f>VLOOKUP(A120,Actual_Revenue!A:G,7,false)</f>
        <v/>
      </c>
    </row>
    <row r="121">
      <c r="A121" s="1" t="str">
        <f>LMS_Loan_Tape!A121</f>
        <v>LN-10120</v>
      </c>
      <c r="B121" s="6">
        <f>VLOOKUP(A121,Actual_Revenue!A:G,2,FALSE)</f>
        <v>72636</v>
      </c>
      <c r="C121" s="6">
        <f>VLOOKUP(A121,Actual_Revenue!A:G,4,FALSE)</f>
        <v>72636</v>
      </c>
      <c r="D121" s="6">
        <f t="shared" si="1"/>
        <v>0</v>
      </c>
      <c r="E121" s="7">
        <f t="shared" si="2"/>
        <v>0</v>
      </c>
      <c r="F121" s="6">
        <f>VLOOKUP(A121,Actual_Revenue!A:G,3,false)</f>
        <v>10368</v>
      </c>
      <c r="G121" s="6">
        <f>VLOOKUP(A121,Actual_Revenue!A:G,5,false)</f>
        <v>10368</v>
      </c>
      <c r="H121" s="6">
        <f t="shared" si="3"/>
        <v>0</v>
      </c>
      <c r="I121" s="5" t="str">
        <f t="shared" si="4"/>
        <v>MATCHED</v>
      </c>
      <c r="J121" s="5" t="str">
        <f>VLOOKUP(A121,Actual_Revenue!A:G,7,false)</f>
        <v/>
      </c>
    </row>
    <row r="122">
      <c r="A122" s="1" t="str">
        <f>LMS_Loan_Tape!A122</f>
        <v>LN-10121</v>
      </c>
      <c r="B122" s="6">
        <f>VLOOKUP(A122,Actual_Revenue!A:G,2,FALSE)</f>
        <v>5309</v>
      </c>
      <c r="C122" s="6">
        <f>VLOOKUP(A122,Actual_Revenue!A:G,4,FALSE)</f>
        <v>5309</v>
      </c>
      <c r="D122" s="6">
        <f t="shared" si="1"/>
        <v>0</v>
      </c>
      <c r="E122" s="7">
        <f t="shared" si="2"/>
        <v>0</v>
      </c>
      <c r="F122" s="6">
        <f>VLOOKUP(A122,Actual_Revenue!A:G,3,false)</f>
        <v>908</v>
      </c>
      <c r="G122" s="6">
        <f>VLOOKUP(A122,Actual_Revenue!A:G,5,false)</f>
        <v>908</v>
      </c>
      <c r="H122" s="6">
        <f t="shared" si="3"/>
        <v>0</v>
      </c>
      <c r="I122" s="5" t="str">
        <f t="shared" si="4"/>
        <v>MATCHED</v>
      </c>
      <c r="J122" s="5" t="str">
        <f>VLOOKUP(A122,Actual_Revenue!A:G,7,false)</f>
        <v/>
      </c>
    </row>
    <row r="123">
      <c r="A123" s="1" t="str">
        <f>LMS_Loan_Tape!A123</f>
        <v>LN-10122</v>
      </c>
      <c r="B123" s="6">
        <f>VLOOKUP(A123,Actual_Revenue!A:G,2,FALSE)</f>
        <v>293934</v>
      </c>
      <c r="C123" s="6">
        <f>VLOOKUP(A123,Actual_Revenue!A:G,4,FALSE)</f>
        <v>293934</v>
      </c>
      <c r="D123" s="6">
        <f t="shared" si="1"/>
        <v>0</v>
      </c>
      <c r="E123" s="7">
        <f t="shared" si="2"/>
        <v>0</v>
      </c>
      <c r="F123" s="6">
        <f>VLOOKUP(A123,Actual_Revenue!A:G,3,false)</f>
        <v>48356</v>
      </c>
      <c r="G123" s="6">
        <f>VLOOKUP(A123,Actual_Revenue!A:G,5,false)</f>
        <v>48356</v>
      </c>
      <c r="H123" s="6">
        <f t="shared" si="3"/>
        <v>0</v>
      </c>
      <c r="I123" s="5" t="str">
        <f t="shared" si="4"/>
        <v>MATCHED</v>
      </c>
      <c r="J123" s="5" t="str">
        <f>VLOOKUP(A123,Actual_Revenue!A:G,7,false)</f>
        <v/>
      </c>
    </row>
    <row r="124">
      <c r="A124" s="1" t="str">
        <f>LMS_Loan_Tape!A124</f>
        <v>LN-10123</v>
      </c>
      <c r="B124" s="6">
        <f>VLOOKUP(A124,Actual_Revenue!A:G,2,FALSE)</f>
        <v>76983</v>
      </c>
      <c r="C124" s="6">
        <f>VLOOKUP(A124,Actual_Revenue!A:G,4,FALSE)</f>
        <v>76983</v>
      </c>
      <c r="D124" s="6">
        <f t="shared" si="1"/>
        <v>0</v>
      </c>
      <c r="E124" s="7">
        <f t="shared" si="2"/>
        <v>0</v>
      </c>
      <c r="F124" s="6">
        <f>VLOOKUP(A124,Actual_Revenue!A:G,3,false)</f>
        <v>51866</v>
      </c>
      <c r="G124" s="6">
        <f>VLOOKUP(A124,Actual_Revenue!A:G,5,false)</f>
        <v>51866</v>
      </c>
      <c r="H124" s="6">
        <f t="shared" si="3"/>
        <v>0</v>
      </c>
      <c r="I124" s="5" t="str">
        <f t="shared" si="4"/>
        <v>MATCHED</v>
      </c>
      <c r="J124" s="5" t="str">
        <f>VLOOKUP(A124,Actual_Revenue!A:G,7,false)</f>
        <v/>
      </c>
    </row>
    <row r="125">
      <c r="A125" s="1" t="str">
        <f>LMS_Loan_Tape!A125</f>
        <v>LN-10124</v>
      </c>
      <c r="B125" s="6">
        <f>VLOOKUP(A125,Actual_Revenue!A:G,2,FALSE)</f>
        <v>56199</v>
      </c>
      <c r="C125" s="6">
        <f>VLOOKUP(A125,Actual_Revenue!A:G,4,FALSE)</f>
        <v>56199</v>
      </c>
      <c r="D125" s="6">
        <f t="shared" si="1"/>
        <v>0</v>
      </c>
      <c r="E125" s="7">
        <f t="shared" si="2"/>
        <v>0</v>
      </c>
      <c r="F125" s="6">
        <f>VLOOKUP(A125,Actual_Revenue!A:G,3,false)</f>
        <v>22585</v>
      </c>
      <c r="G125" s="6">
        <f>VLOOKUP(A125,Actual_Revenue!A:G,5,false)</f>
        <v>22585</v>
      </c>
      <c r="H125" s="6">
        <f t="shared" si="3"/>
        <v>0</v>
      </c>
      <c r="I125" s="5" t="str">
        <f t="shared" si="4"/>
        <v>MATCHED</v>
      </c>
      <c r="J125" s="5" t="str">
        <f>VLOOKUP(A125,Actual_Revenue!A:G,7,false)</f>
        <v/>
      </c>
    </row>
    <row r="126">
      <c r="A126" s="1" t="str">
        <f>LMS_Loan_Tape!A126</f>
        <v>LN-10125</v>
      </c>
      <c r="B126" s="6">
        <f>VLOOKUP(A126,Actual_Revenue!A:G,2,FALSE)</f>
        <v>396217</v>
      </c>
      <c r="C126" s="6">
        <f>VLOOKUP(A126,Actual_Revenue!A:G,4,FALSE)</f>
        <v>396217</v>
      </c>
      <c r="D126" s="6">
        <f t="shared" si="1"/>
        <v>0</v>
      </c>
      <c r="E126" s="7">
        <f t="shared" si="2"/>
        <v>0</v>
      </c>
      <c r="F126" s="6">
        <f>VLOOKUP(A126,Actual_Revenue!A:G,3,false)</f>
        <v>27455</v>
      </c>
      <c r="G126" s="6">
        <f>VLOOKUP(A126,Actual_Revenue!A:G,5,false)</f>
        <v>27180</v>
      </c>
      <c r="H126" s="6">
        <f t="shared" si="3"/>
        <v>275</v>
      </c>
      <c r="I126" s="5" t="str">
        <f t="shared" si="4"/>
        <v>EXCEPTION</v>
      </c>
      <c r="J126" s="5" t="str">
        <f>VLOOKUP(A126,Actual_Revenue!A:G,7,false)</f>
        <v/>
      </c>
    </row>
    <row r="127">
      <c r="A127" s="1" t="str">
        <f>LMS_Loan_Tape!A127</f>
        <v>LN-10126</v>
      </c>
      <c r="B127" s="6">
        <f>VLOOKUP(A127,Actual_Revenue!A:G,2,FALSE)</f>
        <v>91955</v>
      </c>
      <c r="C127" s="6">
        <f>VLOOKUP(A127,Actual_Revenue!A:G,4,FALSE)</f>
        <v>91955</v>
      </c>
      <c r="D127" s="6">
        <f t="shared" si="1"/>
        <v>0</v>
      </c>
      <c r="E127" s="7">
        <f t="shared" si="2"/>
        <v>0</v>
      </c>
      <c r="F127" s="6">
        <f>VLOOKUP(A127,Actual_Revenue!A:G,3,false)</f>
        <v>32832</v>
      </c>
      <c r="G127" s="6">
        <f>VLOOKUP(A127,Actual_Revenue!A:G,5,false)</f>
        <v>32832</v>
      </c>
      <c r="H127" s="6">
        <f t="shared" si="3"/>
        <v>0</v>
      </c>
      <c r="I127" s="5" t="str">
        <f t="shared" si="4"/>
        <v>MATCHED</v>
      </c>
      <c r="J127" s="5" t="str">
        <f>VLOOKUP(A127,Actual_Revenue!A:G,7,false)</f>
        <v/>
      </c>
    </row>
    <row r="128">
      <c r="A128" s="1" t="str">
        <f>LMS_Loan_Tape!A128</f>
        <v>LN-10127</v>
      </c>
      <c r="B128" s="6">
        <f>VLOOKUP(A128,Actual_Revenue!A:G,2,FALSE)</f>
        <v>140015</v>
      </c>
      <c r="C128" s="6">
        <f>VLOOKUP(A128,Actual_Revenue!A:G,4,FALSE)</f>
        <v>137214</v>
      </c>
      <c r="D128" s="6">
        <f t="shared" si="1"/>
        <v>2801</v>
      </c>
      <c r="E128" s="7">
        <f t="shared" si="2"/>
        <v>0.02000499946</v>
      </c>
      <c r="F128" s="6">
        <f>VLOOKUP(A128,Actual_Revenue!A:G,3,false)</f>
        <v>17164</v>
      </c>
      <c r="G128" s="6">
        <f>VLOOKUP(A128,Actual_Revenue!A:G,5,false)</f>
        <v>17164</v>
      </c>
      <c r="H128" s="6">
        <f t="shared" si="3"/>
        <v>0</v>
      </c>
      <c r="I128" s="5" t="str">
        <f t="shared" si="4"/>
        <v>EXCEPTION</v>
      </c>
      <c r="J128" s="5" t="str">
        <f>VLOOKUP(A128,Actual_Revenue!A:G,7,false)</f>
        <v/>
      </c>
    </row>
    <row r="129">
      <c r="A129" s="1" t="str">
        <f>LMS_Loan_Tape!A129</f>
        <v>LN-10128</v>
      </c>
      <c r="B129" s="6">
        <f>VLOOKUP(A129,Actual_Revenue!A:G,2,FALSE)</f>
        <v>87224</v>
      </c>
      <c r="C129" s="6">
        <f>VLOOKUP(A129,Actual_Revenue!A:G,4,FALSE)</f>
        <v>87224</v>
      </c>
      <c r="D129" s="6">
        <f t="shared" si="1"/>
        <v>0</v>
      </c>
      <c r="E129" s="7">
        <f t="shared" si="2"/>
        <v>0</v>
      </c>
      <c r="F129" s="6">
        <f>VLOOKUP(A129,Actual_Revenue!A:G,3,false)</f>
        <v>11895</v>
      </c>
      <c r="G129" s="6">
        <f>VLOOKUP(A129,Actual_Revenue!A:G,5,false)</f>
        <v>11895</v>
      </c>
      <c r="H129" s="6">
        <f t="shared" si="3"/>
        <v>0</v>
      </c>
      <c r="I129" s="5" t="str">
        <f t="shared" si="4"/>
        <v>MATCHED</v>
      </c>
      <c r="J129" s="5" t="str">
        <f>VLOOKUP(A129,Actual_Revenue!A:G,7,false)</f>
        <v/>
      </c>
    </row>
    <row r="130">
      <c r="A130" s="1" t="str">
        <f>LMS_Loan_Tape!A130</f>
        <v>LN-10129</v>
      </c>
      <c r="B130" s="6">
        <f>VLOOKUP(A130,Actual_Revenue!A:G,2,FALSE)</f>
        <v>6963</v>
      </c>
      <c r="C130" s="6">
        <f>VLOOKUP(A130,Actual_Revenue!A:G,4,FALSE)</f>
        <v>6963</v>
      </c>
      <c r="D130" s="6">
        <f t="shared" si="1"/>
        <v>0</v>
      </c>
      <c r="E130" s="7">
        <f t="shared" si="2"/>
        <v>0</v>
      </c>
      <c r="F130" s="6">
        <f>VLOOKUP(A130,Actual_Revenue!A:G,3,false)</f>
        <v>2096</v>
      </c>
      <c r="G130" s="6">
        <f>VLOOKUP(A130,Actual_Revenue!A:G,5,false)</f>
        <v>2096</v>
      </c>
      <c r="H130" s="6">
        <f t="shared" si="3"/>
        <v>0</v>
      </c>
      <c r="I130" s="5" t="str">
        <f t="shared" si="4"/>
        <v>MATCHED</v>
      </c>
      <c r="J130" s="5" t="str">
        <f>VLOOKUP(A130,Actual_Revenue!A:G,7,false)</f>
        <v/>
      </c>
    </row>
    <row r="131">
      <c r="A131" s="1" t="str">
        <f>LMS_Loan_Tape!A131</f>
        <v>LN-10130</v>
      </c>
      <c r="B131" s="6">
        <f>VLOOKUP(A131,Actual_Revenue!A:G,2,FALSE)</f>
        <v>31185</v>
      </c>
      <c r="C131" s="6">
        <f>VLOOKUP(A131,Actual_Revenue!A:G,4,FALSE)</f>
        <v>31185</v>
      </c>
      <c r="D131" s="6">
        <f t="shared" si="1"/>
        <v>0</v>
      </c>
      <c r="E131" s="7">
        <f t="shared" si="2"/>
        <v>0</v>
      </c>
      <c r="F131" s="6">
        <f>VLOOKUP(A131,Actual_Revenue!A:G,3,false)</f>
        <v>23068</v>
      </c>
      <c r="G131" s="6">
        <f>VLOOKUP(A131,Actual_Revenue!A:G,5,false)</f>
        <v>23068</v>
      </c>
      <c r="H131" s="6">
        <f t="shared" si="3"/>
        <v>0</v>
      </c>
      <c r="I131" s="5" t="str">
        <f t="shared" si="4"/>
        <v>MATCHED</v>
      </c>
      <c r="J131" s="5" t="str">
        <f>VLOOKUP(A131,Actual_Revenue!A:G,7,false)</f>
        <v/>
      </c>
    </row>
    <row r="132">
      <c r="A132" s="1" t="str">
        <f>LMS_Loan_Tape!A132</f>
        <v>LN-10131</v>
      </c>
      <c r="B132" s="6">
        <f>VLOOKUP(A132,Actual_Revenue!A:G,2,FALSE)</f>
        <v>310973</v>
      </c>
      <c r="C132" s="6">
        <f>VLOOKUP(A132,Actual_Revenue!A:G,4,FALSE)</f>
        <v>326521</v>
      </c>
      <c r="D132" s="6">
        <f t="shared" si="1"/>
        <v>-15548</v>
      </c>
      <c r="E132" s="7">
        <f t="shared" si="2"/>
        <v>-0.04999790979</v>
      </c>
      <c r="F132" s="6">
        <f>VLOOKUP(A132,Actual_Revenue!A:G,3,false)</f>
        <v>38472</v>
      </c>
      <c r="G132" s="6">
        <f>VLOOKUP(A132,Actual_Revenue!A:G,5,false)</f>
        <v>38472</v>
      </c>
      <c r="H132" s="6">
        <f t="shared" si="3"/>
        <v>0</v>
      </c>
      <c r="I132" s="5" t="str">
        <f t="shared" si="4"/>
        <v>EXCEPTION</v>
      </c>
      <c r="J132" s="5" t="str">
        <f>VLOOKUP(A132,Actual_Revenue!A:G,7,false)</f>
        <v>Rate Change</v>
      </c>
    </row>
    <row r="133">
      <c r="A133" s="1" t="str">
        <f>LMS_Loan_Tape!A133</f>
        <v>LN-10132</v>
      </c>
      <c r="B133" s="6">
        <f>VLOOKUP(A133,Actual_Revenue!A:G,2,FALSE)</f>
        <v>358817</v>
      </c>
      <c r="C133" s="6">
        <f>VLOOKUP(A133,Actual_Revenue!A:G,4,FALSE)</f>
        <v>358817</v>
      </c>
      <c r="D133" s="6">
        <f t="shared" si="1"/>
        <v>0</v>
      </c>
      <c r="E133" s="7">
        <f t="shared" si="2"/>
        <v>0</v>
      </c>
      <c r="F133" s="6">
        <f>VLOOKUP(A133,Actual_Revenue!A:G,3,false)</f>
        <v>40987</v>
      </c>
      <c r="G133" s="6">
        <f>VLOOKUP(A133,Actual_Revenue!A:G,5,false)</f>
        <v>40577</v>
      </c>
      <c r="H133" s="6">
        <f t="shared" si="3"/>
        <v>410</v>
      </c>
      <c r="I133" s="5" t="str">
        <f t="shared" si="4"/>
        <v>EXCEPTION</v>
      </c>
      <c r="J133" s="5" t="str">
        <f>VLOOKUP(A133,Actual_Revenue!A:G,7,false)</f>
        <v/>
      </c>
    </row>
    <row r="134">
      <c r="A134" s="1" t="str">
        <f>LMS_Loan_Tape!A134</f>
        <v>LN-10133</v>
      </c>
      <c r="B134" s="6">
        <f>VLOOKUP(A134,Actual_Revenue!A:G,2,FALSE)</f>
        <v>14867</v>
      </c>
      <c r="C134" s="6">
        <f>VLOOKUP(A134,Actual_Revenue!A:G,4,FALSE)</f>
        <v>14867</v>
      </c>
      <c r="D134" s="6">
        <f t="shared" si="1"/>
        <v>0</v>
      </c>
      <c r="E134" s="7">
        <f t="shared" si="2"/>
        <v>0</v>
      </c>
      <c r="F134" s="6">
        <f>VLOOKUP(A134,Actual_Revenue!A:G,3,false)</f>
        <v>2981</v>
      </c>
      <c r="G134" s="6">
        <f>VLOOKUP(A134,Actual_Revenue!A:G,5,false)</f>
        <v>2981</v>
      </c>
      <c r="H134" s="6">
        <f t="shared" si="3"/>
        <v>0</v>
      </c>
      <c r="I134" s="5" t="str">
        <f t="shared" si="4"/>
        <v>MATCHED</v>
      </c>
      <c r="J134" s="5" t="str">
        <f>VLOOKUP(A134,Actual_Revenue!A:G,7,false)</f>
        <v/>
      </c>
    </row>
    <row r="135">
      <c r="A135" s="1" t="str">
        <f>LMS_Loan_Tape!A135</f>
        <v>LN-10134</v>
      </c>
      <c r="B135" s="6">
        <f>VLOOKUP(A135,Actual_Revenue!A:G,2,FALSE)</f>
        <v>218900</v>
      </c>
      <c r="C135" s="6">
        <f>VLOOKUP(A135,Actual_Revenue!A:G,4,FALSE)</f>
        <v>218900</v>
      </c>
      <c r="D135" s="6">
        <f t="shared" si="1"/>
        <v>0</v>
      </c>
      <c r="E135" s="7">
        <f t="shared" si="2"/>
        <v>0</v>
      </c>
      <c r="F135" s="6">
        <f>VLOOKUP(A135,Actual_Revenue!A:G,3,false)</f>
        <v>23175</v>
      </c>
      <c r="G135" s="6">
        <f>VLOOKUP(A135,Actual_Revenue!A:G,5,false)</f>
        <v>23175</v>
      </c>
      <c r="H135" s="6">
        <f t="shared" si="3"/>
        <v>0</v>
      </c>
      <c r="I135" s="5" t="str">
        <f t="shared" si="4"/>
        <v>MATCHED</v>
      </c>
      <c r="J135" s="5" t="str">
        <f>VLOOKUP(A135,Actual_Revenue!A:G,7,false)</f>
        <v/>
      </c>
    </row>
    <row r="136">
      <c r="A136" s="1" t="str">
        <f>LMS_Loan_Tape!A136</f>
        <v>LN-10135</v>
      </c>
      <c r="B136" s="6">
        <f>VLOOKUP(A136,Actual_Revenue!A:G,2,FALSE)</f>
        <v>72617</v>
      </c>
      <c r="C136" s="6">
        <f>VLOOKUP(A136,Actual_Revenue!A:G,4,FALSE)</f>
        <v>76247</v>
      </c>
      <c r="D136" s="6">
        <f t="shared" si="1"/>
        <v>-3630</v>
      </c>
      <c r="E136" s="7">
        <f t="shared" si="2"/>
        <v>-0.04998829475</v>
      </c>
      <c r="F136" s="6">
        <f>VLOOKUP(A136,Actual_Revenue!A:G,3,false)</f>
        <v>43451</v>
      </c>
      <c r="G136" s="6">
        <f>VLOOKUP(A136,Actual_Revenue!A:G,5,false)</f>
        <v>43451</v>
      </c>
      <c r="H136" s="6">
        <f t="shared" si="3"/>
        <v>0</v>
      </c>
      <c r="I136" s="5" t="str">
        <f t="shared" si="4"/>
        <v>EXCEPTION</v>
      </c>
      <c r="J136" s="5" t="str">
        <f>VLOOKUP(A136,Actual_Revenue!A:G,7,false)</f>
        <v>Rate Change</v>
      </c>
    </row>
    <row r="137">
      <c r="A137" s="1" t="str">
        <f>LMS_Loan_Tape!A137</f>
        <v>LN-10136</v>
      </c>
      <c r="B137" s="6">
        <f>VLOOKUP(A137,Actual_Revenue!A:G,2,FALSE)</f>
        <v>22962</v>
      </c>
      <c r="C137" s="6">
        <f>VLOOKUP(A137,Actual_Revenue!A:G,4,FALSE)</f>
        <v>22962</v>
      </c>
      <c r="D137" s="6">
        <f t="shared" si="1"/>
        <v>0</v>
      </c>
      <c r="E137" s="7">
        <f t="shared" si="2"/>
        <v>0</v>
      </c>
      <c r="F137" s="6">
        <f>VLOOKUP(A137,Actual_Revenue!A:G,3,false)</f>
        <v>4874</v>
      </c>
      <c r="G137" s="6">
        <f>VLOOKUP(A137,Actual_Revenue!A:G,5,false)</f>
        <v>4874</v>
      </c>
      <c r="H137" s="6">
        <f t="shared" si="3"/>
        <v>0</v>
      </c>
      <c r="I137" s="5" t="str">
        <f t="shared" si="4"/>
        <v>MATCHED</v>
      </c>
      <c r="J137" s="5" t="str">
        <f>VLOOKUP(A137,Actual_Revenue!A:G,7,false)</f>
        <v/>
      </c>
    </row>
    <row r="138">
      <c r="A138" s="1" t="str">
        <f>LMS_Loan_Tape!A138</f>
        <v>LN-10137</v>
      </c>
      <c r="B138" s="6">
        <f>VLOOKUP(A138,Actual_Revenue!A:G,2,FALSE)</f>
        <v>156275</v>
      </c>
      <c r="C138" s="6">
        <f>VLOOKUP(A138,Actual_Revenue!A:G,4,FALSE)</f>
        <v>156275</v>
      </c>
      <c r="D138" s="6">
        <f t="shared" si="1"/>
        <v>0</v>
      </c>
      <c r="E138" s="7">
        <f t="shared" si="2"/>
        <v>0</v>
      </c>
      <c r="F138" s="6">
        <f>VLOOKUP(A138,Actual_Revenue!A:G,3,false)</f>
        <v>11414</v>
      </c>
      <c r="G138" s="6">
        <f>VLOOKUP(A138,Actual_Revenue!A:G,5,false)</f>
        <v>11414</v>
      </c>
      <c r="H138" s="6">
        <f t="shared" si="3"/>
        <v>0</v>
      </c>
      <c r="I138" s="5" t="str">
        <f t="shared" si="4"/>
        <v>MATCHED</v>
      </c>
      <c r="J138" s="5" t="str">
        <f>VLOOKUP(A138,Actual_Revenue!A:G,7,false)</f>
        <v/>
      </c>
    </row>
    <row r="139">
      <c r="A139" s="1" t="str">
        <f>LMS_Loan_Tape!A139</f>
        <v>LN-10138</v>
      </c>
      <c r="B139" s="6">
        <f>VLOOKUP(A139,Actual_Revenue!A:G,2,FALSE)</f>
        <v>17556</v>
      </c>
      <c r="C139" s="6">
        <f>VLOOKUP(A139,Actual_Revenue!A:G,4,FALSE)</f>
        <v>17556</v>
      </c>
      <c r="D139" s="6">
        <f t="shared" si="1"/>
        <v>0</v>
      </c>
      <c r="E139" s="7">
        <f t="shared" si="2"/>
        <v>0</v>
      </c>
      <c r="F139" s="6">
        <f>VLOOKUP(A139,Actual_Revenue!A:G,3,false)</f>
        <v>37016</v>
      </c>
      <c r="G139" s="6">
        <f>VLOOKUP(A139,Actual_Revenue!A:G,5,false)</f>
        <v>37016</v>
      </c>
      <c r="H139" s="6">
        <f t="shared" si="3"/>
        <v>0</v>
      </c>
      <c r="I139" s="5" t="str">
        <f t="shared" si="4"/>
        <v>MATCHED</v>
      </c>
      <c r="J139" s="5" t="str">
        <f>VLOOKUP(A139,Actual_Revenue!A:G,7,false)</f>
        <v/>
      </c>
    </row>
    <row r="140">
      <c r="A140" s="1" t="str">
        <f>LMS_Loan_Tape!A140</f>
        <v>LN-10139</v>
      </c>
      <c r="B140" s="6">
        <f>VLOOKUP(A140,Actual_Revenue!A:G,2,FALSE)</f>
        <v>102836</v>
      </c>
      <c r="C140" s="6">
        <f>VLOOKUP(A140,Actual_Revenue!A:G,4,FALSE)</f>
        <v>102836</v>
      </c>
      <c r="D140" s="6">
        <f t="shared" si="1"/>
        <v>0</v>
      </c>
      <c r="E140" s="7">
        <f t="shared" si="2"/>
        <v>0</v>
      </c>
      <c r="F140" s="6">
        <f>VLOOKUP(A140,Actual_Revenue!A:G,3,false)</f>
        <v>10430</v>
      </c>
      <c r="G140" s="6">
        <f>VLOOKUP(A140,Actual_Revenue!A:G,5,false)</f>
        <v>10430</v>
      </c>
      <c r="H140" s="6">
        <f t="shared" si="3"/>
        <v>0</v>
      </c>
      <c r="I140" s="5" t="str">
        <f t="shared" si="4"/>
        <v>MATCHED</v>
      </c>
      <c r="J140" s="5" t="str">
        <f>VLOOKUP(A140,Actual_Revenue!A:G,7,false)</f>
        <v/>
      </c>
    </row>
    <row r="141">
      <c r="A141" s="1" t="str">
        <f>LMS_Loan_Tape!A141</f>
        <v>LN-10140</v>
      </c>
      <c r="B141" s="6">
        <f>VLOOKUP(A141,Actual_Revenue!A:G,2,FALSE)</f>
        <v>134365</v>
      </c>
      <c r="C141" s="6">
        <f>VLOOKUP(A141,Actual_Revenue!A:G,4,FALSE)</f>
        <v>131677</v>
      </c>
      <c r="D141" s="6">
        <f t="shared" si="1"/>
        <v>2688</v>
      </c>
      <c r="E141" s="7">
        <f t="shared" si="2"/>
        <v>0.02000520969</v>
      </c>
      <c r="F141" s="6">
        <f>VLOOKUP(A141,Actual_Revenue!A:G,3,false)</f>
        <v>24559</v>
      </c>
      <c r="G141" s="6">
        <f>VLOOKUP(A141,Actual_Revenue!A:G,5,false)</f>
        <v>24559</v>
      </c>
      <c r="H141" s="6">
        <f t="shared" si="3"/>
        <v>0</v>
      </c>
      <c r="I141" s="5" t="str">
        <f t="shared" si="4"/>
        <v>EXCEPTION</v>
      </c>
      <c r="J141" s="5" t="str">
        <f>VLOOKUP(A141,Actual_Revenue!A:G,7,false)</f>
        <v/>
      </c>
    </row>
    <row r="142">
      <c r="A142" s="1" t="str">
        <f>LMS_Loan_Tape!A142</f>
        <v>LN-10141</v>
      </c>
      <c r="B142" s="6">
        <f>VLOOKUP(A142,Actual_Revenue!A:G,2,FALSE)</f>
        <v>26864</v>
      </c>
      <c r="C142" s="6">
        <f>VLOOKUP(A142,Actual_Revenue!A:G,4,FALSE)</f>
        <v>24177</v>
      </c>
      <c r="D142" s="6">
        <f t="shared" si="1"/>
        <v>2687</v>
      </c>
      <c r="E142" s="7">
        <f t="shared" si="2"/>
        <v>0.1000223347</v>
      </c>
      <c r="F142" s="6">
        <f>VLOOKUP(A142,Actual_Revenue!A:G,3,false)</f>
        <v>9092</v>
      </c>
      <c r="G142" s="6">
        <f>VLOOKUP(A142,Actual_Revenue!A:G,5,false)</f>
        <v>4546</v>
      </c>
      <c r="H142" s="6">
        <f t="shared" si="3"/>
        <v>4546</v>
      </c>
      <c r="I142" s="5" t="str">
        <f t="shared" si="4"/>
        <v>EXCEPTION</v>
      </c>
      <c r="J142" s="5" t="str">
        <f>VLOOKUP(A142,Actual_Revenue!A:G,7,false)</f>
        <v>Waiver Applied</v>
      </c>
    </row>
    <row r="143">
      <c r="A143" s="1" t="str">
        <f>LMS_Loan_Tape!A143</f>
        <v>LN-10142</v>
      </c>
      <c r="B143" s="6">
        <f>VLOOKUP(A143,Actual_Revenue!A:G,2,FALSE)</f>
        <v>200137</v>
      </c>
      <c r="C143" s="6">
        <f>VLOOKUP(A143,Actual_Revenue!A:G,4,FALSE)</f>
        <v>200137</v>
      </c>
      <c r="D143" s="6">
        <f t="shared" si="1"/>
        <v>0</v>
      </c>
      <c r="E143" s="7">
        <f t="shared" si="2"/>
        <v>0</v>
      </c>
      <c r="F143" s="6">
        <f>VLOOKUP(A143,Actual_Revenue!A:G,3,false)</f>
        <v>27920</v>
      </c>
      <c r="G143" s="6">
        <f>VLOOKUP(A143,Actual_Revenue!A:G,5,false)</f>
        <v>27920</v>
      </c>
      <c r="H143" s="6">
        <f t="shared" si="3"/>
        <v>0</v>
      </c>
      <c r="I143" s="5" t="str">
        <f t="shared" si="4"/>
        <v>MATCHED</v>
      </c>
      <c r="J143" s="5" t="str">
        <f>VLOOKUP(A143,Actual_Revenue!A:G,7,false)</f>
        <v/>
      </c>
    </row>
    <row r="144">
      <c r="A144" s="1" t="str">
        <f>LMS_Loan_Tape!A144</f>
        <v>LN-10143</v>
      </c>
      <c r="B144" s="6">
        <f>VLOOKUP(A144,Actual_Revenue!A:G,2,FALSE)</f>
        <v>201199</v>
      </c>
      <c r="C144" s="6">
        <f>VLOOKUP(A144,Actual_Revenue!A:G,4,FALSE)</f>
        <v>201199</v>
      </c>
      <c r="D144" s="6">
        <f t="shared" si="1"/>
        <v>0</v>
      </c>
      <c r="E144" s="7">
        <f t="shared" si="2"/>
        <v>0</v>
      </c>
      <c r="F144" s="6">
        <f>VLOOKUP(A144,Actual_Revenue!A:G,3,false)</f>
        <v>18040</v>
      </c>
      <c r="G144" s="6">
        <f>VLOOKUP(A144,Actual_Revenue!A:G,5,false)</f>
        <v>18040</v>
      </c>
      <c r="H144" s="6">
        <f t="shared" si="3"/>
        <v>0</v>
      </c>
      <c r="I144" s="5" t="str">
        <f t="shared" si="4"/>
        <v>MATCHED</v>
      </c>
      <c r="J144" s="5" t="str">
        <f>VLOOKUP(A144,Actual_Revenue!A:G,7,false)</f>
        <v/>
      </c>
    </row>
    <row r="145">
      <c r="A145" s="1" t="str">
        <f>LMS_Loan_Tape!A145</f>
        <v>LN-10144</v>
      </c>
      <c r="B145" s="6">
        <f>VLOOKUP(A145,Actual_Revenue!A:G,2,FALSE)</f>
        <v>216298</v>
      </c>
      <c r="C145" s="6">
        <f>VLOOKUP(A145,Actual_Revenue!A:G,4,FALSE)</f>
        <v>216298</v>
      </c>
      <c r="D145" s="6">
        <f t="shared" si="1"/>
        <v>0</v>
      </c>
      <c r="E145" s="7">
        <f t="shared" si="2"/>
        <v>0</v>
      </c>
      <c r="F145" s="6">
        <f>VLOOKUP(A145,Actual_Revenue!A:G,3,false)</f>
        <v>28044</v>
      </c>
      <c r="G145" s="6">
        <f>VLOOKUP(A145,Actual_Revenue!A:G,5,false)</f>
        <v>28044</v>
      </c>
      <c r="H145" s="6">
        <f t="shared" si="3"/>
        <v>0</v>
      </c>
      <c r="I145" s="5" t="str">
        <f t="shared" si="4"/>
        <v>MATCHED</v>
      </c>
      <c r="J145" s="5" t="str">
        <f>VLOOKUP(A145,Actual_Revenue!A:G,7,false)</f>
        <v/>
      </c>
    </row>
    <row r="146">
      <c r="A146" s="1" t="str">
        <f>LMS_Loan_Tape!A146</f>
        <v>LN-10145</v>
      </c>
      <c r="B146" s="6">
        <f>VLOOKUP(A146,Actual_Revenue!A:G,2,FALSE)</f>
        <v>496026</v>
      </c>
      <c r="C146" s="6">
        <f>VLOOKUP(A146,Actual_Revenue!A:G,4,FALSE)</f>
        <v>496026</v>
      </c>
      <c r="D146" s="6">
        <f t="shared" si="1"/>
        <v>0</v>
      </c>
      <c r="E146" s="7">
        <f t="shared" si="2"/>
        <v>0</v>
      </c>
      <c r="F146" s="6">
        <f>VLOOKUP(A146,Actual_Revenue!A:G,3,false)</f>
        <v>45369</v>
      </c>
      <c r="G146" s="6">
        <f>VLOOKUP(A146,Actual_Revenue!A:G,5,false)</f>
        <v>45369</v>
      </c>
      <c r="H146" s="6">
        <f t="shared" si="3"/>
        <v>0</v>
      </c>
      <c r="I146" s="5" t="str">
        <f t="shared" si="4"/>
        <v>MATCHED</v>
      </c>
      <c r="J146" s="5" t="str">
        <f>VLOOKUP(A146,Actual_Revenue!A:G,7,false)</f>
        <v/>
      </c>
    </row>
    <row r="147">
      <c r="A147" s="1" t="str">
        <f>LMS_Loan_Tape!A147</f>
        <v>LN-10146</v>
      </c>
      <c r="B147" s="6">
        <f>VLOOKUP(A147,Actual_Revenue!A:G,2,FALSE)</f>
        <v>227142</v>
      </c>
      <c r="C147" s="6">
        <f>VLOOKUP(A147,Actual_Revenue!A:G,4,FALSE)</f>
        <v>227142</v>
      </c>
      <c r="D147" s="6">
        <f t="shared" si="1"/>
        <v>0</v>
      </c>
      <c r="E147" s="7">
        <f t="shared" si="2"/>
        <v>0</v>
      </c>
      <c r="F147" s="6">
        <f>VLOOKUP(A147,Actual_Revenue!A:G,3,false)</f>
        <v>52986</v>
      </c>
      <c r="G147" s="6">
        <f>VLOOKUP(A147,Actual_Revenue!A:G,5,false)</f>
        <v>52986</v>
      </c>
      <c r="H147" s="6">
        <f t="shared" si="3"/>
        <v>0</v>
      </c>
      <c r="I147" s="5" t="str">
        <f t="shared" si="4"/>
        <v>MATCHED</v>
      </c>
      <c r="J147" s="5" t="str">
        <f>VLOOKUP(A147,Actual_Revenue!A:G,7,false)</f>
        <v/>
      </c>
    </row>
    <row r="148">
      <c r="A148" s="1" t="str">
        <f>LMS_Loan_Tape!A148</f>
        <v>LN-10147</v>
      </c>
      <c r="B148" s="6">
        <f>VLOOKUP(A148,Actual_Revenue!A:G,2,FALSE)</f>
        <v>20030</v>
      </c>
      <c r="C148" s="6">
        <f>VLOOKUP(A148,Actual_Revenue!A:G,4,FALSE)</f>
        <v>20030</v>
      </c>
      <c r="D148" s="6">
        <f t="shared" si="1"/>
        <v>0</v>
      </c>
      <c r="E148" s="7">
        <f t="shared" si="2"/>
        <v>0</v>
      </c>
      <c r="F148" s="6">
        <f>VLOOKUP(A148,Actual_Revenue!A:G,3,false)</f>
        <v>3633</v>
      </c>
      <c r="G148" s="6">
        <f>VLOOKUP(A148,Actual_Revenue!A:G,5,false)</f>
        <v>3596</v>
      </c>
      <c r="H148" s="6">
        <f t="shared" si="3"/>
        <v>37</v>
      </c>
      <c r="I148" s="5" t="str">
        <f t="shared" si="4"/>
        <v>EXCEPTION</v>
      </c>
      <c r="J148" s="5" t="str">
        <f>VLOOKUP(A148,Actual_Revenue!A:G,7,false)</f>
        <v/>
      </c>
    </row>
    <row r="149">
      <c r="A149" s="1" t="str">
        <f>LMS_Loan_Tape!A149</f>
        <v>LN-10148</v>
      </c>
      <c r="B149" s="6">
        <f>VLOOKUP(A149,Actual_Revenue!A:G,2,FALSE)</f>
        <v>81973</v>
      </c>
      <c r="C149" s="6">
        <f>VLOOKUP(A149,Actual_Revenue!A:G,4,FALSE)</f>
        <v>81973</v>
      </c>
      <c r="D149" s="6">
        <f t="shared" si="1"/>
        <v>0</v>
      </c>
      <c r="E149" s="7">
        <f t="shared" si="2"/>
        <v>0</v>
      </c>
      <c r="F149" s="6">
        <f>VLOOKUP(A149,Actual_Revenue!A:G,3,false)</f>
        <v>17273</v>
      </c>
      <c r="G149" s="6">
        <f>VLOOKUP(A149,Actual_Revenue!A:G,5,false)</f>
        <v>17273</v>
      </c>
      <c r="H149" s="6">
        <f t="shared" si="3"/>
        <v>0</v>
      </c>
      <c r="I149" s="5" t="str">
        <f t="shared" si="4"/>
        <v>MATCHED</v>
      </c>
      <c r="J149" s="5" t="str">
        <f>VLOOKUP(A149,Actual_Revenue!A:G,7,false)</f>
        <v/>
      </c>
    </row>
    <row r="150">
      <c r="A150" s="1" t="str">
        <f>LMS_Loan_Tape!A150</f>
        <v>LN-10149</v>
      </c>
      <c r="B150" s="6">
        <f>VLOOKUP(A150,Actual_Revenue!A:G,2,FALSE)</f>
        <v>223269</v>
      </c>
      <c r="C150" s="6">
        <f>VLOOKUP(A150,Actual_Revenue!A:G,4,FALSE)</f>
        <v>223269</v>
      </c>
      <c r="D150" s="6">
        <f t="shared" si="1"/>
        <v>0</v>
      </c>
      <c r="E150" s="7">
        <f t="shared" si="2"/>
        <v>0</v>
      </c>
      <c r="F150" s="6">
        <f>VLOOKUP(A150,Actual_Revenue!A:G,3,false)</f>
        <v>39678</v>
      </c>
      <c r="G150" s="6">
        <f>VLOOKUP(A150,Actual_Revenue!A:G,5,false)</f>
        <v>39678</v>
      </c>
      <c r="H150" s="6">
        <f t="shared" si="3"/>
        <v>0</v>
      </c>
      <c r="I150" s="5" t="str">
        <f t="shared" si="4"/>
        <v>MATCHED</v>
      </c>
      <c r="J150" s="5" t="str">
        <f>VLOOKUP(A150,Actual_Revenue!A:G,7,false)</f>
        <v/>
      </c>
    </row>
    <row r="151">
      <c r="A151" s="1" t="str">
        <f>LMS_Loan_Tape!A151</f>
        <v>LN-10150</v>
      </c>
      <c r="B151" s="6">
        <f>VLOOKUP(A151,Actual_Revenue!A:G,2,FALSE)</f>
        <v>19232</v>
      </c>
      <c r="C151" s="6">
        <f>VLOOKUP(A151,Actual_Revenue!A:G,4,FALSE)</f>
        <v>19232</v>
      </c>
      <c r="D151" s="6">
        <f t="shared" si="1"/>
        <v>0</v>
      </c>
      <c r="E151" s="7">
        <f t="shared" si="2"/>
        <v>0</v>
      </c>
      <c r="F151" s="6">
        <f>VLOOKUP(A151,Actual_Revenue!A:G,3,false)</f>
        <v>3148</v>
      </c>
      <c r="G151" s="6">
        <f>VLOOKUP(A151,Actual_Revenue!A:G,5,false)</f>
        <v>3148</v>
      </c>
      <c r="H151" s="6">
        <f t="shared" si="3"/>
        <v>0</v>
      </c>
      <c r="I151" s="5" t="str">
        <f t="shared" si="4"/>
        <v>MATCHED</v>
      </c>
      <c r="J151" s="5" t="str">
        <f>VLOOKUP(A151,Actual_Revenue!A:G,7,false)</f>
        <v/>
      </c>
    </row>
    <row r="152">
      <c r="A152" s="1" t="str">
        <f>LMS_Loan_Tape!A152</f>
        <v>LN-10151</v>
      </c>
      <c r="B152" s="6">
        <f>VLOOKUP(A152,Actual_Revenue!A:G,2,FALSE)</f>
        <v>218076</v>
      </c>
      <c r="C152" s="6">
        <f>VLOOKUP(A152,Actual_Revenue!A:G,4,FALSE)</f>
        <v>213714</v>
      </c>
      <c r="D152" s="6">
        <f t="shared" si="1"/>
        <v>4362</v>
      </c>
      <c r="E152" s="7">
        <f t="shared" si="2"/>
        <v>0.02000220107</v>
      </c>
      <c r="F152" s="6">
        <f>VLOOKUP(A152,Actual_Revenue!A:G,3,false)</f>
        <v>21783</v>
      </c>
      <c r="G152" s="6">
        <f>VLOOKUP(A152,Actual_Revenue!A:G,5,false)</f>
        <v>21783</v>
      </c>
      <c r="H152" s="6">
        <f t="shared" si="3"/>
        <v>0</v>
      </c>
      <c r="I152" s="5" t="str">
        <f t="shared" si="4"/>
        <v>EXCEPTION</v>
      </c>
      <c r="J152" s="5" t="str">
        <f>VLOOKUP(A152,Actual_Revenue!A:G,7,false)</f>
        <v/>
      </c>
    </row>
    <row r="153">
      <c r="A153" s="1" t="str">
        <f>LMS_Loan_Tape!A153</f>
        <v>LN-10152</v>
      </c>
      <c r="B153" s="6">
        <f>VLOOKUP(A153,Actual_Revenue!A:G,2,FALSE)</f>
        <v>48975</v>
      </c>
      <c r="C153" s="6">
        <f>VLOOKUP(A153,Actual_Revenue!A:G,4,FALSE)</f>
        <v>48975</v>
      </c>
      <c r="D153" s="6">
        <f t="shared" si="1"/>
        <v>0</v>
      </c>
      <c r="E153" s="7">
        <f t="shared" si="2"/>
        <v>0</v>
      </c>
      <c r="F153" s="6">
        <f>VLOOKUP(A153,Actual_Revenue!A:G,3,false)</f>
        <v>12782</v>
      </c>
      <c r="G153" s="6">
        <f>VLOOKUP(A153,Actual_Revenue!A:G,5,false)</f>
        <v>12782</v>
      </c>
      <c r="H153" s="6">
        <f t="shared" si="3"/>
        <v>0</v>
      </c>
      <c r="I153" s="5" t="str">
        <f t="shared" si="4"/>
        <v>MATCHED</v>
      </c>
      <c r="J153" s="5" t="str">
        <f>VLOOKUP(A153,Actual_Revenue!A:G,7,false)</f>
        <v/>
      </c>
    </row>
    <row r="154">
      <c r="A154" s="1" t="str">
        <f>LMS_Loan_Tape!A154</f>
        <v>LN-10153</v>
      </c>
      <c r="B154" s="6">
        <f>VLOOKUP(A154,Actual_Revenue!A:G,2,FALSE)</f>
        <v>134835</v>
      </c>
      <c r="C154" s="6">
        <f>VLOOKUP(A154,Actual_Revenue!A:G,4,FALSE)</f>
        <v>134835</v>
      </c>
      <c r="D154" s="6">
        <f t="shared" si="1"/>
        <v>0</v>
      </c>
      <c r="E154" s="7">
        <f t="shared" si="2"/>
        <v>0</v>
      </c>
      <c r="F154" s="6">
        <f>VLOOKUP(A154,Actual_Revenue!A:G,3,false)</f>
        <v>26700</v>
      </c>
      <c r="G154" s="6">
        <f>VLOOKUP(A154,Actual_Revenue!A:G,5,false)</f>
        <v>26700</v>
      </c>
      <c r="H154" s="6">
        <f t="shared" si="3"/>
        <v>0</v>
      </c>
      <c r="I154" s="5" t="str">
        <f t="shared" si="4"/>
        <v>MATCHED</v>
      </c>
      <c r="J154" s="5" t="str">
        <f>VLOOKUP(A154,Actual_Revenue!A:G,7,false)</f>
        <v/>
      </c>
    </row>
    <row r="155">
      <c r="A155" s="1" t="str">
        <f>LMS_Loan_Tape!A155</f>
        <v>LN-10154</v>
      </c>
      <c r="B155" s="6">
        <f>VLOOKUP(A155,Actual_Revenue!A:G,2,FALSE)</f>
        <v>52296</v>
      </c>
      <c r="C155" s="6">
        <f>VLOOKUP(A155,Actual_Revenue!A:G,4,FALSE)</f>
        <v>52296</v>
      </c>
      <c r="D155" s="6">
        <f t="shared" si="1"/>
        <v>0</v>
      </c>
      <c r="E155" s="7">
        <f t="shared" si="2"/>
        <v>0</v>
      </c>
      <c r="F155" s="6">
        <f>VLOOKUP(A155,Actual_Revenue!A:G,3,false)</f>
        <v>6310</v>
      </c>
      <c r="G155" s="6">
        <f>VLOOKUP(A155,Actual_Revenue!A:G,5,false)</f>
        <v>6310</v>
      </c>
      <c r="H155" s="6">
        <f t="shared" si="3"/>
        <v>0</v>
      </c>
      <c r="I155" s="5" t="str">
        <f t="shared" si="4"/>
        <v>MATCHED</v>
      </c>
      <c r="J155" s="5" t="str">
        <f>VLOOKUP(A155,Actual_Revenue!A:G,7,false)</f>
        <v/>
      </c>
    </row>
    <row r="156">
      <c r="A156" s="1" t="str">
        <f>LMS_Loan_Tape!A156</f>
        <v>LN-10155</v>
      </c>
      <c r="B156" s="6">
        <f>VLOOKUP(A156,Actual_Revenue!A:G,2,FALSE)</f>
        <v>389700</v>
      </c>
      <c r="C156" s="6">
        <f>VLOOKUP(A156,Actual_Revenue!A:G,4,FALSE)</f>
        <v>389700</v>
      </c>
      <c r="D156" s="6">
        <f t="shared" si="1"/>
        <v>0</v>
      </c>
      <c r="E156" s="7">
        <f t="shared" si="2"/>
        <v>0</v>
      </c>
      <c r="F156" s="6">
        <f>VLOOKUP(A156,Actual_Revenue!A:G,3,false)</f>
        <v>22789</v>
      </c>
      <c r="G156" s="6">
        <f>VLOOKUP(A156,Actual_Revenue!A:G,5,false)</f>
        <v>22789</v>
      </c>
      <c r="H156" s="6">
        <f t="shared" si="3"/>
        <v>0</v>
      </c>
      <c r="I156" s="5" t="str">
        <f t="shared" si="4"/>
        <v>MATCHED</v>
      </c>
      <c r="J156" s="5" t="str">
        <f>VLOOKUP(A156,Actual_Revenue!A:G,7,false)</f>
        <v/>
      </c>
    </row>
    <row r="157">
      <c r="A157" s="1" t="str">
        <f>LMS_Loan_Tape!A157</f>
        <v>LN-10156</v>
      </c>
      <c r="B157" s="6">
        <f>VLOOKUP(A157,Actual_Revenue!A:G,2,FALSE)</f>
        <v>65139</v>
      </c>
      <c r="C157" s="6">
        <f>VLOOKUP(A157,Actual_Revenue!A:G,4,FALSE)</f>
        <v>65139</v>
      </c>
      <c r="D157" s="6">
        <f t="shared" si="1"/>
        <v>0</v>
      </c>
      <c r="E157" s="7">
        <f t="shared" si="2"/>
        <v>0</v>
      </c>
      <c r="F157" s="6">
        <f>VLOOKUP(A157,Actual_Revenue!A:G,3,false)</f>
        <v>19078</v>
      </c>
      <c r="G157" s="6">
        <f>VLOOKUP(A157,Actual_Revenue!A:G,5,false)</f>
        <v>19078</v>
      </c>
      <c r="H157" s="6">
        <f t="shared" si="3"/>
        <v>0</v>
      </c>
      <c r="I157" s="5" t="str">
        <f t="shared" si="4"/>
        <v>MATCHED</v>
      </c>
      <c r="J157" s="5" t="str">
        <f>VLOOKUP(A157,Actual_Revenue!A:G,7,false)</f>
        <v/>
      </c>
    </row>
    <row r="158">
      <c r="A158" s="1" t="str">
        <f>LMS_Loan_Tape!A158</f>
        <v>LN-10157</v>
      </c>
      <c r="B158" s="6">
        <f>VLOOKUP(A158,Actual_Revenue!A:G,2,FALSE)</f>
        <v>148836</v>
      </c>
      <c r="C158" s="6">
        <f>VLOOKUP(A158,Actual_Revenue!A:G,4,FALSE)</f>
        <v>145859</v>
      </c>
      <c r="D158" s="6">
        <f t="shared" si="1"/>
        <v>2977</v>
      </c>
      <c r="E158" s="7">
        <f t="shared" si="2"/>
        <v>0.02000188127</v>
      </c>
      <c r="F158" s="6">
        <f>VLOOKUP(A158,Actual_Revenue!A:G,3,false)</f>
        <v>15987</v>
      </c>
      <c r="G158" s="6">
        <f>VLOOKUP(A158,Actual_Revenue!A:G,5,false)</f>
        <v>15987</v>
      </c>
      <c r="H158" s="6">
        <f t="shared" si="3"/>
        <v>0</v>
      </c>
      <c r="I158" s="5" t="str">
        <f t="shared" si="4"/>
        <v>EXCEPTION</v>
      </c>
      <c r="J158" s="5" t="str">
        <f>VLOOKUP(A158,Actual_Revenue!A:G,7,false)</f>
        <v/>
      </c>
    </row>
    <row r="159">
      <c r="A159" s="1" t="str">
        <f>LMS_Loan_Tape!A159</f>
        <v>LN-10158</v>
      </c>
      <c r="B159" s="6">
        <f>VLOOKUP(A159,Actual_Revenue!A:G,2,FALSE)</f>
        <v>105368</v>
      </c>
      <c r="C159" s="6">
        <f>VLOOKUP(A159,Actual_Revenue!A:G,4,FALSE)</f>
        <v>105368</v>
      </c>
      <c r="D159" s="6">
        <f t="shared" si="1"/>
        <v>0</v>
      </c>
      <c r="E159" s="7">
        <f t="shared" si="2"/>
        <v>0</v>
      </c>
      <c r="F159" s="6">
        <f>VLOOKUP(A159,Actual_Revenue!A:G,3,false)</f>
        <v>16797</v>
      </c>
      <c r="G159" s="6">
        <f>VLOOKUP(A159,Actual_Revenue!A:G,5,false)</f>
        <v>16797</v>
      </c>
      <c r="H159" s="6">
        <f t="shared" si="3"/>
        <v>0</v>
      </c>
      <c r="I159" s="5" t="str">
        <f t="shared" si="4"/>
        <v>MATCHED</v>
      </c>
      <c r="J159" s="5" t="str">
        <f>VLOOKUP(A159,Actual_Revenue!A:G,7,false)</f>
        <v/>
      </c>
    </row>
    <row r="160">
      <c r="A160" s="1" t="str">
        <f>LMS_Loan_Tape!A160</f>
        <v>LN-10159</v>
      </c>
      <c r="B160" s="6">
        <f>VLOOKUP(A160,Actual_Revenue!A:G,2,FALSE)</f>
        <v>26977</v>
      </c>
      <c r="C160" s="6">
        <f>VLOOKUP(A160,Actual_Revenue!A:G,4,FALSE)</f>
        <v>26977</v>
      </c>
      <c r="D160" s="6">
        <f t="shared" si="1"/>
        <v>0</v>
      </c>
      <c r="E160" s="7">
        <f t="shared" si="2"/>
        <v>0</v>
      </c>
      <c r="F160" s="6">
        <f>VLOOKUP(A160,Actual_Revenue!A:G,3,false)</f>
        <v>4048</v>
      </c>
      <c r="G160" s="6">
        <f>VLOOKUP(A160,Actual_Revenue!A:G,5,false)</f>
        <v>4048</v>
      </c>
      <c r="H160" s="6">
        <f t="shared" si="3"/>
        <v>0</v>
      </c>
      <c r="I160" s="5" t="str">
        <f t="shared" si="4"/>
        <v>MATCHED</v>
      </c>
      <c r="J160" s="5" t="str">
        <f>VLOOKUP(A160,Actual_Revenue!A:G,7,false)</f>
        <v/>
      </c>
    </row>
    <row r="161">
      <c r="A161" s="1" t="str">
        <f>LMS_Loan_Tape!A161</f>
        <v>LN-10160</v>
      </c>
      <c r="B161" s="6">
        <f>VLOOKUP(A161,Actual_Revenue!A:G,2,FALSE)</f>
        <v>29042</v>
      </c>
      <c r="C161" s="6">
        <f>VLOOKUP(A161,Actual_Revenue!A:G,4,FALSE)</f>
        <v>29042</v>
      </c>
      <c r="D161" s="6">
        <f t="shared" si="1"/>
        <v>0</v>
      </c>
      <c r="E161" s="7">
        <f t="shared" si="2"/>
        <v>0</v>
      </c>
      <c r="F161" s="6">
        <f>VLOOKUP(A161,Actual_Revenue!A:G,3,false)</f>
        <v>3175</v>
      </c>
      <c r="G161" s="6">
        <f>VLOOKUP(A161,Actual_Revenue!A:G,5,false)</f>
        <v>3175</v>
      </c>
      <c r="H161" s="6">
        <f t="shared" si="3"/>
        <v>0</v>
      </c>
      <c r="I161" s="5" t="str">
        <f t="shared" si="4"/>
        <v>MATCHED</v>
      </c>
      <c r="J161" s="5" t="str">
        <f>VLOOKUP(A161,Actual_Revenue!A:G,7,false)</f>
        <v/>
      </c>
    </row>
    <row r="162">
      <c r="A162" s="1" t="str">
        <f>LMS_Loan_Tape!A162</f>
        <v>LN-10161</v>
      </c>
      <c r="B162" s="6">
        <f>VLOOKUP(A162,Actual_Revenue!A:G,2,FALSE)</f>
        <v>258222</v>
      </c>
      <c r="C162" s="6">
        <f>VLOOKUP(A162,Actual_Revenue!A:G,4,FALSE)</f>
        <v>258222</v>
      </c>
      <c r="D162" s="6">
        <f t="shared" si="1"/>
        <v>0</v>
      </c>
      <c r="E162" s="7">
        <f t="shared" si="2"/>
        <v>0</v>
      </c>
      <c r="F162" s="6">
        <f>VLOOKUP(A162,Actual_Revenue!A:G,3,false)</f>
        <v>29267</v>
      </c>
      <c r="G162" s="6">
        <f>VLOOKUP(A162,Actual_Revenue!A:G,5,false)</f>
        <v>29267</v>
      </c>
      <c r="H162" s="6">
        <f t="shared" si="3"/>
        <v>0</v>
      </c>
      <c r="I162" s="5" t="str">
        <f t="shared" si="4"/>
        <v>MATCHED</v>
      </c>
      <c r="J162" s="5" t="str">
        <f>VLOOKUP(A162,Actual_Revenue!A:G,7,false)</f>
        <v/>
      </c>
    </row>
    <row r="163">
      <c r="A163" s="1" t="str">
        <f>LMS_Loan_Tape!A163</f>
        <v>LN-10162</v>
      </c>
      <c r="B163" s="6">
        <f>VLOOKUP(A163,Actual_Revenue!A:G,2,FALSE)</f>
        <v>139650</v>
      </c>
      <c r="C163" s="6">
        <f>VLOOKUP(A163,Actual_Revenue!A:G,4,FALSE)</f>
        <v>125685</v>
      </c>
      <c r="D163" s="6">
        <f t="shared" si="1"/>
        <v>13965</v>
      </c>
      <c r="E163" s="7">
        <f t="shared" si="2"/>
        <v>0.1</v>
      </c>
      <c r="F163" s="6">
        <f>VLOOKUP(A163,Actual_Revenue!A:G,3,false)</f>
        <v>11432</v>
      </c>
      <c r="G163" s="6">
        <f>VLOOKUP(A163,Actual_Revenue!A:G,5,false)</f>
        <v>5716</v>
      </c>
      <c r="H163" s="6">
        <f t="shared" si="3"/>
        <v>5716</v>
      </c>
      <c r="I163" s="5" t="str">
        <f t="shared" si="4"/>
        <v>EXCEPTION</v>
      </c>
      <c r="J163" s="5" t="str">
        <f>VLOOKUP(A163,Actual_Revenue!A:G,7,false)</f>
        <v>Waiver Applied</v>
      </c>
    </row>
    <row r="164">
      <c r="A164" s="1" t="str">
        <f>LMS_Loan_Tape!A164</f>
        <v>LN-10163</v>
      </c>
      <c r="B164" s="6">
        <f>VLOOKUP(A164,Actual_Revenue!A:G,2,FALSE)</f>
        <v>25652</v>
      </c>
      <c r="C164" s="6">
        <f>VLOOKUP(A164,Actual_Revenue!A:G,4,FALSE)</f>
        <v>25652</v>
      </c>
      <c r="D164" s="6">
        <f t="shared" si="1"/>
        <v>0</v>
      </c>
      <c r="E164" s="7">
        <f t="shared" si="2"/>
        <v>0</v>
      </c>
      <c r="F164" s="6">
        <f>VLOOKUP(A164,Actual_Revenue!A:G,3,false)</f>
        <v>1315</v>
      </c>
      <c r="G164" s="6">
        <f>VLOOKUP(A164,Actual_Revenue!A:G,5,false)</f>
        <v>1315</v>
      </c>
      <c r="H164" s="6">
        <f t="shared" si="3"/>
        <v>0</v>
      </c>
      <c r="I164" s="5" t="str">
        <f t="shared" si="4"/>
        <v>MATCHED</v>
      </c>
      <c r="J164" s="5" t="str">
        <f>VLOOKUP(A164,Actual_Revenue!A:G,7,false)</f>
        <v/>
      </c>
    </row>
    <row r="165">
      <c r="A165" s="1" t="str">
        <f>LMS_Loan_Tape!A165</f>
        <v>LN-10164</v>
      </c>
      <c r="B165" s="6">
        <f>VLOOKUP(A165,Actual_Revenue!A:G,2,FALSE)</f>
        <v>25994</v>
      </c>
      <c r="C165" s="6">
        <f>VLOOKUP(A165,Actual_Revenue!A:G,4,FALSE)</f>
        <v>25994</v>
      </c>
      <c r="D165" s="6">
        <f t="shared" si="1"/>
        <v>0</v>
      </c>
      <c r="E165" s="7">
        <f t="shared" si="2"/>
        <v>0</v>
      </c>
      <c r="F165" s="6">
        <f>VLOOKUP(A165,Actual_Revenue!A:G,3,false)</f>
        <v>6356</v>
      </c>
      <c r="G165" s="6">
        <f>VLOOKUP(A165,Actual_Revenue!A:G,5,false)</f>
        <v>6356</v>
      </c>
      <c r="H165" s="6">
        <f t="shared" si="3"/>
        <v>0</v>
      </c>
      <c r="I165" s="5" t="str">
        <f t="shared" si="4"/>
        <v>MATCHED</v>
      </c>
      <c r="J165" s="5" t="str">
        <f>VLOOKUP(A165,Actual_Revenue!A:G,7,false)</f>
        <v/>
      </c>
    </row>
    <row r="166">
      <c r="A166" s="1" t="str">
        <f>LMS_Loan_Tape!A166</f>
        <v>LN-10165</v>
      </c>
      <c r="B166" s="6">
        <f>VLOOKUP(A166,Actual_Revenue!A:G,2,FALSE)</f>
        <v>130485</v>
      </c>
      <c r="C166" s="6">
        <f>VLOOKUP(A166,Actual_Revenue!A:G,4,FALSE)</f>
        <v>130485</v>
      </c>
      <c r="D166" s="6">
        <f t="shared" si="1"/>
        <v>0</v>
      </c>
      <c r="E166" s="7">
        <f t="shared" si="2"/>
        <v>0</v>
      </c>
      <c r="F166" s="6">
        <f>VLOOKUP(A166,Actual_Revenue!A:G,3,false)</f>
        <v>45289</v>
      </c>
      <c r="G166" s="6">
        <f>VLOOKUP(A166,Actual_Revenue!A:G,5,false)</f>
        <v>45289</v>
      </c>
      <c r="H166" s="6">
        <f t="shared" si="3"/>
        <v>0</v>
      </c>
      <c r="I166" s="5" t="str">
        <f t="shared" si="4"/>
        <v>MATCHED</v>
      </c>
      <c r="J166" s="5" t="str">
        <f>VLOOKUP(A166,Actual_Revenue!A:G,7,false)</f>
        <v/>
      </c>
    </row>
    <row r="167">
      <c r="A167" s="1" t="str">
        <f>LMS_Loan_Tape!A167</f>
        <v>LN-10166</v>
      </c>
      <c r="B167" s="6">
        <f>VLOOKUP(A167,Actual_Revenue!A:G,2,FALSE)</f>
        <v>24798</v>
      </c>
      <c r="C167" s="6">
        <f>VLOOKUP(A167,Actual_Revenue!A:G,4,FALSE)</f>
        <v>24798</v>
      </c>
      <c r="D167" s="6">
        <f t="shared" si="1"/>
        <v>0</v>
      </c>
      <c r="E167" s="7">
        <f t="shared" si="2"/>
        <v>0</v>
      </c>
      <c r="F167" s="6">
        <f>VLOOKUP(A167,Actual_Revenue!A:G,3,false)</f>
        <v>5843</v>
      </c>
      <c r="G167" s="6">
        <f>VLOOKUP(A167,Actual_Revenue!A:G,5,false)</f>
        <v>5784</v>
      </c>
      <c r="H167" s="6">
        <f t="shared" si="3"/>
        <v>59</v>
      </c>
      <c r="I167" s="5" t="str">
        <f t="shared" si="4"/>
        <v>EXCEPTION</v>
      </c>
      <c r="J167" s="5" t="str">
        <f>VLOOKUP(A167,Actual_Revenue!A:G,7,false)</f>
        <v/>
      </c>
    </row>
    <row r="168">
      <c r="A168" s="1" t="str">
        <f>LMS_Loan_Tape!A168</f>
        <v>LN-10167</v>
      </c>
      <c r="B168" s="6">
        <f>VLOOKUP(A168,Actual_Revenue!A:G,2,FALSE)</f>
        <v>170798</v>
      </c>
      <c r="C168" s="6">
        <f>VLOOKUP(A168,Actual_Revenue!A:G,4,FALSE)</f>
        <v>170798</v>
      </c>
      <c r="D168" s="6">
        <f t="shared" si="1"/>
        <v>0</v>
      </c>
      <c r="E168" s="7">
        <f t="shared" si="2"/>
        <v>0</v>
      </c>
      <c r="F168" s="6">
        <f>VLOOKUP(A168,Actual_Revenue!A:G,3,false)</f>
        <v>15894</v>
      </c>
      <c r="G168" s="6">
        <f>VLOOKUP(A168,Actual_Revenue!A:G,5,false)</f>
        <v>15894</v>
      </c>
      <c r="H168" s="6">
        <f t="shared" si="3"/>
        <v>0</v>
      </c>
      <c r="I168" s="5" t="str">
        <f t="shared" si="4"/>
        <v>MATCHED</v>
      </c>
      <c r="J168" s="5" t="str">
        <f>VLOOKUP(A168,Actual_Revenue!A:G,7,false)</f>
        <v/>
      </c>
    </row>
    <row r="169">
      <c r="A169" s="1" t="str">
        <f>LMS_Loan_Tape!A169</f>
        <v>LN-10168</v>
      </c>
      <c r="B169" s="6">
        <f>VLOOKUP(A169,Actual_Revenue!A:G,2,FALSE)</f>
        <v>5905</v>
      </c>
      <c r="C169" s="6">
        <f>VLOOKUP(A169,Actual_Revenue!A:G,4,FALSE)</f>
        <v>5905</v>
      </c>
      <c r="D169" s="6">
        <f t="shared" si="1"/>
        <v>0</v>
      </c>
      <c r="E169" s="7">
        <f t="shared" si="2"/>
        <v>0</v>
      </c>
      <c r="F169" s="6">
        <f>VLOOKUP(A169,Actual_Revenue!A:G,3,false)</f>
        <v>687</v>
      </c>
      <c r="G169" s="6">
        <f>VLOOKUP(A169,Actual_Revenue!A:G,5,false)</f>
        <v>687</v>
      </c>
      <c r="H169" s="6">
        <f t="shared" si="3"/>
        <v>0</v>
      </c>
      <c r="I169" s="5" t="str">
        <f t="shared" si="4"/>
        <v>MATCHED</v>
      </c>
      <c r="J169" s="5" t="str">
        <f>VLOOKUP(A169,Actual_Revenue!A:G,7,false)</f>
        <v/>
      </c>
    </row>
    <row r="170">
      <c r="A170" s="1" t="str">
        <f>LMS_Loan_Tape!A170</f>
        <v>LN-10169</v>
      </c>
      <c r="B170" s="6">
        <f>VLOOKUP(A170,Actual_Revenue!A:G,2,FALSE)</f>
        <v>66550</v>
      </c>
      <c r="C170" s="6">
        <f>VLOOKUP(A170,Actual_Revenue!A:G,4,FALSE)</f>
        <v>66550</v>
      </c>
      <c r="D170" s="6">
        <f t="shared" si="1"/>
        <v>0</v>
      </c>
      <c r="E170" s="7">
        <f t="shared" si="2"/>
        <v>0</v>
      </c>
      <c r="F170" s="6">
        <f>VLOOKUP(A170,Actual_Revenue!A:G,3,false)</f>
        <v>16821</v>
      </c>
      <c r="G170" s="6">
        <f>VLOOKUP(A170,Actual_Revenue!A:G,5,false)</f>
        <v>16821</v>
      </c>
      <c r="H170" s="6">
        <f t="shared" si="3"/>
        <v>0</v>
      </c>
      <c r="I170" s="5" t="str">
        <f t="shared" si="4"/>
        <v>MATCHED</v>
      </c>
      <c r="J170" s="5" t="str">
        <f>VLOOKUP(A170,Actual_Revenue!A:G,7,false)</f>
        <v/>
      </c>
    </row>
    <row r="171">
      <c r="A171" s="1" t="str">
        <f>LMS_Loan_Tape!A171</f>
        <v>LN-10170</v>
      </c>
      <c r="B171" s="6">
        <f>VLOOKUP(A171,Actual_Revenue!A:G,2,FALSE)</f>
        <v>328354</v>
      </c>
      <c r="C171" s="6">
        <f>VLOOKUP(A171,Actual_Revenue!A:G,4,FALSE)</f>
        <v>328354</v>
      </c>
      <c r="D171" s="6">
        <f t="shared" si="1"/>
        <v>0</v>
      </c>
      <c r="E171" s="7">
        <f t="shared" si="2"/>
        <v>0</v>
      </c>
      <c r="F171" s="6">
        <f>VLOOKUP(A171,Actual_Revenue!A:G,3,false)</f>
        <v>30768</v>
      </c>
      <c r="G171" s="6">
        <f>VLOOKUP(A171,Actual_Revenue!A:G,5,false)</f>
        <v>30768</v>
      </c>
      <c r="H171" s="6">
        <f t="shared" si="3"/>
        <v>0</v>
      </c>
      <c r="I171" s="5" t="str">
        <f t="shared" si="4"/>
        <v>MATCHED</v>
      </c>
      <c r="J171" s="5" t="str">
        <f>VLOOKUP(A171,Actual_Revenue!A:G,7,false)</f>
        <v/>
      </c>
    </row>
    <row r="172">
      <c r="A172" s="1" t="str">
        <f>LMS_Loan_Tape!A172</f>
        <v>LN-10171</v>
      </c>
      <c r="B172" s="6">
        <f>VLOOKUP(A172,Actual_Revenue!A:G,2,FALSE)</f>
        <v>94898</v>
      </c>
      <c r="C172" s="6">
        <f>VLOOKUP(A172,Actual_Revenue!A:G,4,FALSE)</f>
        <v>94898</v>
      </c>
      <c r="D172" s="6">
        <f t="shared" si="1"/>
        <v>0</v>
      </c>
      <c r="E172" s="7">
        <f t="shared" si="2"/>
        <v>0</v>
      </c>
      <c r="F172" s="6">
        <f>VLOOKUP(A172,Actual_Revenue!A:G,3,false)</f>
        <v>11317</v>
      </c>
      <c r="G172" s="6">
        <f>VLOOKUP(A172,Actual_Revenue!A:G,5,false)</f>
        <v>11317</v>
      </c>
      <c r="H172" s="6">
        <f t="shared" si="3"/>
        <v>0</v>
      </c>
      <c r="I172" s="5" t="str">
        <f t="shared" si="4"/>
        <v>MATCHED</v>
      </c>
      <c r="J172" s="5" t="str">
        <f>VLOOKUP(A172,Actual_Revenue!A:G,7,false)</f>
        <v/>
      </c>
    </row>
    <row r="173">
      <c r="A173" s="1" t="str">
        <f>LMS_Loan_Tape!A173</f>
        <v>LN-10172</v>
      </c>
      <c r="B173" s="6">
        <f>VLOOKUP(A173,Actual_Revenue!A:G,2,FALSE)</f>
        <v>136590</v>
      </c>
      <c r="C173" s="6">
        <f>VLOOKUP(A173,Actual_Revenue!A:G,4,FALSE)</f>
        <v>133858</v>
      </c>
      <c r="D173" s="6">
        <f t="shared" si="1"/>
        <v>2732</v>
      </c>
      <c r="E173" s="7">
        <f t="shared" si="2"/>
        <v>0.02000146424</v>
      </c>
      <c r="F173" s="6">
        <f>VLOOKUP(A173,Actual_Revenue!A:G,3,false)</f>
        <v>20542</v>
      </c>
      <c r="G173" s="6">
        <f>VLOOKUP(A173,Actual_Revenue!A:G,5,false)</f>
        <v>20336</v>
      </c>
      <c r="H173" s="6">
        <f t="shared" si="3"/>
        <v>206</v>
      </c>
      <c r="I173" s="5" t="str">
        <f t="shared" si="4"/>
        <v>EXCEPTION</v>
      </c>
      <c r="J173" s="5" t="str">
        <f>VLOOKUP(A173,Actual_Revenue!A:G,7,false)</f>
        <v/>
      </c>
    </row>
    <row r="174">
      <c r="A174" s="1" t="str">
        <f>LMS_Loan_Tape!A174</f>
        <v>LN-10173</v>
      </c>
      <c r="B174" s="6">
        <f>VLOOKUP(A174,Actual_Revenue!A:G,2,FALSE)</f>
        <v>113108</v>
      </c>
      <c r="C174" s="6">
        <f>VLOOKUP(A174,Actual_Revenue!A:G,4,FALSE)</f>
        <v>113108</v>
      </c>
      <c r="D174" s="6">
        <f t="shared" si="1"/>
        <v>0</v>
      </c>
      <c r="E174" s="7">
        <f t="shared" si="2"/>
        <v>0</v>
      </c>
      <c r="F174" s="6">
        <f>VLOOKUP(A174,Actual_Revenue!A:G,3,false)</f>
        <v>53558</v>
      </c>
      <c r="G174" s="6">
        <f>VLOOKUP(A174,Actual_Revenue!A:G,5,false)</f>
        <v>53558</v>
      </c>
      <c r="H174" s="6">
        <f t="shared" si="3"/>
        <v>0</v>
      </c>
      <c r="I174" s="5" t="str">
        <f t="shared" si="4"/>
        <v>MATCHED</v>
      </c>
      <c r="J174" s="5" t="str">
        <f>VLOOKUP(A174,Actual_Revenue!A:G,7,false)</f>
        <v/>
      </c>
    </row>
    <row r="175">
      <c r="A175" s="1" t="str">
        <f>LMS_Loan_Tape!A175</f>
        <v>LN-10174</v>
      </c>
      <c r="B175" s="6">
        <f>VLOOKUP(A175,Actual_Revenue!A:G,2,FALSE)</f>
        <v>178739</v>
      </c>
      <c r="C175" s="6">
        <f>VLOOKUP(A175,Actual_Revenue!A:G,4,FALSE)</f>
        <v>178869</v>
      </c>
      <c r="D175" s="6">
        <f t="shared" si="1"/>
        <v>-130</v>
      </c>
      <c r="E175" s="7">
        <f t="shared" si="2"/>
        <v>-0.0007273174853</v>
      </c>
      <c r="F175" s="6">
        <f>VLOOKUP(A175,Actual_Revenue!A:G,3,false)</f>
        <v>29609</v>
      </c>
      <c r="G175" s="6">
        <f>VLOOKUP(A175,Actual_Revenue!A:G,5,false)</f>
        <v>29609</v>
      </c>
      <c r="H175" s="6">
        <f t="shared" si="3"/>
        <v>0</v>
      </c>
      <c r="I175" s="5" t="str">
        <f t="shared" si="4"/>
        <v>EXCEPTION</v>
      </c>
      <c r="J175" s="5" t="str">
        <f>VLOOKUP(A175,Actual_Revenue!A:G,7,false)</f>
        <v>System Error</v>
      </c>
    </row>
    <row r="176">
      <c r="A176" s="1" t="str">
        <f>LMS_Loan_Tape!A176</f>
        <v>LN-10175</v>
      </c>
      <c r="B176" s="6">
        <f>VLOOKUP(A176,Actual_Revenue!A:G,2,FALSE)</f>
        <v>50179</v>
      </c>
      <c r="C176" s="6">
        <f>VLOOKUP(A176,Actual_Revenue!A:G,4,FALSE)</f>
        <v>50179</v>
      </c>
      <c r="D176" s="6">
        <f t="shared" si="1"/>
        <v>0</v>
      </c>
      <c r="E176" s="7">
        <f t="shared" si="2"/>
        <v>0</v>
      </c>
      <c r="F176" s="6">
        <f>VLOOKUP(A176,Actual_Revenue!A:G,3,false)</f>
        <v>5027</v>
      </c>
      <c r="G176" s="6">
        <f>VLOOKUP(A176,Actual_Revenue!A:G,5,false)</f>
        <v>5027</v>
      </c>
      <c r="H176" s="6">
        <f t="shared" si="3"/>
        <v>0</v>
      </c>
      <c r="I176" s="5" t="str">
        <f t="shared" si="4"/>
        <v>MATCHED</v>
      </c>
      <c r="J176" s="5" t="str">
        <f>VLOOKUP(A176,Actual_Revenue!A:G,7,false)</f>
        <v/>
      </c>
    </row>
    <row r="177">
      <c r="A177" s="1" t="str">
        <f>LMS_Loan_Tape!A177</f>
        <v>LN-10176</v>
      </c>
      <c r="B177" s="6">
        <f>VLOOKUP(A177,Actual_Revenue!A:G,2,FALSE)</f>
        <v>205251</v>
      </c>
      <c r="C177" s="6">
        <f>VLOOKUP(A177,Actual_Revenue!A:G,4,FALSE)</f>
        <v>205251</v>
      </c>
      <c r="D177" s="6">
        <f t="shared" si="1"/>
        <v>0</v>
      </c>
      <c r="E177" s="7">
        <f t="shared" si="2"/>
        <v>0</v>
      </c>
      <c r="F177" s="6">
        <f>VLOOKUP(A177,Actual_Revenue!A:G,3,false)</f>
        <v>20159</v>
      </c>
      <c r="G177" s="6">
        <f>VLOOKUP(A177,Actual_Revenue!A:G,5,false)</f>
        <v>20159</v>
      </c>
      <c r="H177" s="6">
        <f t="shared" si="3"/>
        <v>0</v>
      </c>
      <c r="I177" s="5" t="str">
        <f t="shared" si="4"/>
        <v>MATCHED</v>
      </c>
      <c r="J177" s="5" t="str">
        <f>VLOOKUP(A177,Actual_Revenue!A:G,7,false)</f>
        <v/>
      </c>
    </row>
    <row r="178">
      <c r="A178" s="1" t="str">
        <f>LMS_Loan_Tape!A178</f>
        <v>LN-10177</v>
      </c>
      <c r="B178" s="6">
        <f>VLOOKUP(A178,Actual_Revenue!A:G,2,FALSE)</f>
        <v>484957</v>
      </c>
      <c r="C178" s="6">
        <f>VLOOKUP(A178,Actual_Revenue!A:G,4,FALSE)</f>
        <v>484957</v>
      </c>
      <c r="D178" s="6">
        <f t="shared" si="1"/>
        <v>0</v>
      </c>
      <c r="E178" s="7">
        <f t="shared" si="2"/>
        <v>0</v>
      </c>
      <c r="F178" s="6">
        <f>VLOOKUP(A178,Actual_Revenue!A:G,3,false)</f>
        <v>33527</v>
      </c>
      <c r="G178" s="6">
        <f>VLOOKUP(A178,Actual_Revenue!A:G,5,false)</f>
        <v>33527</v>
      </c>
      <c r="H178" s="6">
        <f t="shared" si="3"/>
        <v>0</v>
      </c>
      <c r="I178" s="5" t="str">
        <f t="shared" si="4"/>
        <v>MATCHED</v>
      </c>
      <c r="J178" s="5" t="str">
        <f>VLOOKUP(A178,Actual_Revenue!A:G,7,false)</f>
        <v/>
      </c>
    </row>
    <row r="179">
      <c r="A179" s="1" t="str">
        <f>LMS_Loan_Tape!A179</f>
        <v>LN-10178</v>
      </c>
      <c r="B179" s="6">
        <f>VLOOKUP(A179,Actual_Revenue!A:G,2,FALSE)</f>
        <v>50520</v>
      </c>
      <c r="C179" s="6">
        <f>VLOOKUP(A179,Actual_Revenue!A:G,4,FALSE)</f>
        <v>50520</v>
      </c>
      <c r="D179" s="6">
        <f t="shared" si="1"/>
        <v>0</v>
      </c>
      <c r="E179" s="7">
        <f t="shared" si="2"/>
        <v>0</v>
      </c>
      <c r="F179" s="6">
        <f>VLOOKUP(A179,Actual_Revenue!A:G,3,false)</f>
        <v>15868</v>
      </c>
      <c r="G179" s="6">
        <f>VLOOKUP(A179,Actual_Revenue!A:G,5,false)</f>
        <v>15868</v>
      </c>
      <c r="H179" s="6">
        <f t="shared" si="3"/>
        <v>0</v>
      </c>
      <c r="I179" s="5" t="str">
        <f t="shared" si="4"/>
        <v>MATCHED</v>
      </c>
      <c r="J179" s="5" t="str">
        <f>VLOOKUP(A179,Actual_Revenue!A:G,7,false)</f>
        <v/>
      </c>
    </row>
    <row r="180">
      <c r="A180" s="1" t="str">
        <f>LMS_Loan_Tape!A180</f>
        <v>LN-10179</v>
      </c>
      <c r="B180" s="6">
        <f>VLOOKUP(A180,Actual_Revenue!A:G,2,FALSE)</f>
        <v>72463</v>
      </c>
      <c r="C180" s="6">
        <f>VLOOKUP(A180,Actual_Revenue!A:G,4,FALSE)</f>
        <v>72463</v>
      </c>
      <c r="D180" s="6">
        <f t="shared" si="1"/>
        <v>0</v>
      </c>
      <c r="E180" s="7">
        <f t="shared" si="2"/>
        <v>0</v>
      </c>
      <c r="F180" s="6">
        <f>VLOOKUP(A180,Actual_Revenue!A:G,3,false)</f>
        <v>8645</v>
      </c>
      <c r="G180" s="6">
        <f>VLOOKUP(A180,Actual_Revenue!A:G,5,false)</f>
        <v>8645</v>
      </c>
      <c r="H180" s="6">
        <f t="shared" si="3"/>
        <v>0</v>
      </c>
      <c r="I180" s="5" t="str">
        <f t="shared" si="4"/>
        <v>MATCHED</v>
      </c>
      <c r="J180" s="5" t="str">
        <f>VLOOKUP(A180,Actual_Revenue!A:G,7,false)</f>
        <v/>
      </c>
    </row>
    <row r="181">
      <c r="A181" s="1" t="str">
        <f>LMS_Loan_Tape!A181</f>
        <v>LN-10180</v>
      </c>
      <c r="B181" s="6">
        <f>VLOOKUP(A181,Actual_Revenue!A:G,2,FALSE)</f>
        <v>79336</v>
      </c>
      <c r="C181" s="6">
        <f>VLOOKUP(A181,Actual_Revenue!A:G,4,FALSE)</f>
        <v>80135</v>
      </c>
      <c r="D181" s="6">
        <f t="shared" si="1"/>
        <v>-799</v>
      </c>
      <c r="E181" s="7">
        <f t="shared" si="2"/>
        <v>-0.01007109005</v>
      </c>
      <c r="F181" s="6">
        <f>VLOOKUP(A181,Actual_Revenue!A:G,3,false)</f>
        <v>30727</v>
      </c>
      <c r="G181" s="6">
        <f>VLOOKUP(A181,Actual_Revenue!A:G,5,false)</f>
        <v>30727</v>
      </c>
      <c r="H181" s="6">
        <f t="shared" si="3"/>
        <v>0</v>
      </c>
      <c r="I181" s="5" t="str">
        <f t="shared" si="4"/>
        <v>EXCEPTION</v>
      </c>
      <c r="J181" s="5" t="str">
        <f>VLOOKUP(A181,Actual_Revenue!A:G,7,false)</f>
        <v>System Error</v>
      </c>
    </row>
    <row r="182">
      <c r="A182" s="1" t="str">
        <f>LMS_Loan_Tape!A182</f>
        <v>LN-10181</v>
      </c>
      <c r="B182" s="6">
        <f>VLOOKUP(A182,Actual_Revenue!A:G,2,FALSE)</f>
        <v>49303</v>
      </c>
      <c r="C182" s="6">
        <f>VLOOKUP(A182,Actual_Revenue!A:G,4,FALSE)</f>
        <v>49303</v>
      </c>
      <c r="D182" s="6">
        <f t="shared" si="1"/>
        <v>0</v>
      </c>
      <c r="E182" s="7">
        <f t="shared" si="2"/>
        <v>0</v>
      </c>
      <c r="F182" s="6">
        <f>VLOOKUP(A182,Actual_Revenue!A:G,3,false)</f>
        <v>12661</v>
      </c>
      <c r="G182" s="6">
        <f>VLOOKUP(A182,Actual_Revenue!A:G,5,false)</f>
        <v>12661</v>
      </c>
      <c r="H182" s="6">
        <f t="shared" si="3"/>
        <v>0</v>
      </c>
      <c r="I182" s="5" t="str">
        <f t="shared" si="4"/>
        <v>MATCHED</v>
      </c>
      <c r="J182" s="5" t="str">
        <f>VLOOKUP(A182,Actual_Revenue!A:G,7,false)</f>
        <v/>
      </c>
    </row>
    <row r="183">
      <c r="A183" s="1" t="str">
        <f>LMS_Loan_Tape!A183</f>
        <v>LN-10182</v>
      </c>
      <c r="B183" s="6">
        <f>VLOOKUP(A183,Actual_Revenue!A:G,2,FALSE)</f>
        <v>425876</v>
      </c>
      <c r="C183" s="6">
        <f>VLOOKUP(A183,Actual_Revenue!A:G,4,FALSE)</f>
        <v>425876</v>
      </c>
      <c r="D183" s="6">
        <f t="shared" si="1"/>
        <v>0</v>
      </c>
      <c r="E183" s="7">
        <f t="shared" si="2"/>
        <v>0</v>
      </c>
      <c r="F183" s="6">
        <f>VLOOKUP(A183,Actual_Revenue!A:G,3,false)</f>
        <v>30270</v>
      </c>
      <c r="G183" s="6">
        <f>VLOOKUP(A183,Actual_Revenue!A:G,5,false)</f>
        <v>30270</v>
      </c>
      <c r="H183" s="6">
        <f t="shared" si="3"/>
        <v>0</v>
      </c>
      <c r="I183" s="5" t="str">
        <f t="shared" si="4"/>
        <v>MATCHED</v>
      </c>
      <c r="J183" s="5" t="str">
        <f>VLOOKUP(A183,Actual_Revenue!A:G,7,false)</f>
        <v/>
      </c>
    </row>
    <row r="184">
      <c r="A184" s="1" t="str">
        <f>LMS_Loan_Tape!A184</f>
        <v>LN-10183</v>
      </c>
      <c r="B184" s="6">
        <f>VLOOKUP(A184,Actual_Revenue!A:G,2,FALSE)</f>
        <v>108752</v>
      </c>
      <c r="C184" s="6">
        <f>VLOOKUP(A184,Actual_Revenue!A:G,4,FALSE)</f>
        <v>108752</v>
      </c>
      <c r="D184" s="6">
        <f t="shared" si="1"/>
        <v>0</v>
      </c>
      <c r="E184" s="7">
        <f t="shared" si="2"/>
        <v>0</v>
      </c>
      <c r="F184" s="6">
        <f>VLOOKUP(A184,Actual_Revenue!A:G,3,false)</f>
        <v>16597</v>
      </c>
      <c r="G184" s="6">
        <f>VLOOKUP(A184,Actual_Revenue!A:G,5,false)</f>
        <v>16597</v>
      </c>
      <c r="H184" s="6">
        <f t="shared" si="3"/>
        <v>0</v>
      </c>
      <c r="I184" s="5" t="str">
        <f t="shared" si="4"/>
        <v>MATCHED</v>
      </c>
      <c r="J184" s="5" t="str">
        <f>VLOOKUP(A184,Actual_Revenue!A:G,7,false)</f>
        <v/>
      </c>
    </row>
    <row r="185">
      <c r="A185" s="1" t="str">
        <f>LMS_Loan_Tape!A185</f>
        <v>LN-10184</v>
      </c>
      <c r="B185" s="6">
        <f>VLOOKUP(A185,Actual_Revenue!A:G,2,FALSE)</f>
        <v>175302</v>
      </c>
      <c r="C185" s="6">
        <f>VLOOKUP(A185,Actual_Revenue!A:G,4,FALSE)</f>
        <v>175302</v>
      </c>
      <c r="D185" s="6">
        <f t="shared" si="1"/>
        <v>0</v>
      </c>
      <c r="E185" s="7">
        <f t="shared" si="2"/>
        <v>0</v>
      </c>
      <c r="F185" s="6">
        <f>VLOOKUP(A185,Actual_Revenue!A:G,3,false)</f>
        <v>23689</v>
      </c>
      <c r="G185" s="6">
        <f>VLOOKUP(A185,Actual_Revenue!A:G,5,false)</f>
        <v>23689</v>
      </c>
      <c r="H185" s="6">
        <f t="shared" si="3"/>
        <v>0</v>
      </c>
      <c r="I185" s="5" t="str">
        <f t="shared" si="4"/>
        <v>MATCHED</v>
      </c>
      <c r="J185" s="5" t="str">
        <f>VLOOKUP(A185,Actual_Revenue!A:G,7,false)</f>
        <v/>
      </c>
    </row>
    <row r="186">
      <c r="A186" s="1" t="str">
        <f>LMS_Loan_Tape!A186</f>
        <v>LN-10185</v>
      </c>
      <c r="B186" s="6">
        <f>VLOOKUP(A186,Actual_Revenue!A:G,2,FALSE)</f>
        <v>243577</v>
      </c>
      <c r="C186" s="6">
        <f>VLOOKUP(A186,Actual_Revenue!A:G,4,FALSE)</f>
        <v>243577</v>
      </c>
      <c r="D186" s="6">
        <f t="shared" si="1"/>
        <v>0</v>
      </c>
      <c r="E186" s="7">
        <f t="shared" si="2"/>
        <v>0</v>
      </c>
      <c r="F186" s="6">
        <f>VLOOKUP(A186,Actual_Revenue!A:G,3,false)</f>
        <v>31765</v>
      </c>
      <c r="G186" s="6">
        <f>VLOOKUP(A186,Actual_Revenue!A:G,5,false)</f>
        <v>31765</v>
      </c>
      <c r="H186" s="6">
        <f t="shared" si="3"/>
        <v>0</v>
      </c>
      <c r="I186" s="5" t="str">
        <f t="shared" si="4"/>
        <v>MATCHED</v>
      </c>
      <c r="J186" s="5" t="str">
        <f>VLOOKUP(A186,Actual_Revenue!A:G,7,false)</f>
        <v/>
      </c>
    </row>
    <row r="187">
      <c r="A187" s="1" t="str">
        <f>LMS_Loan_Tape!A187</f>
        <v>LN-10186</v>
      </c>
      <c r="B187" s="6">
        <f>VLOOKUP(A187,Actual_Revenue!A:G,2,FALSE)</f>
        <v>23218</v>
      </c>
      <c r="C187" s="6">
        <f>VLOOKUP(A187,Actual_Revenue!A:G,4,FALSE)</f>
        <v>23218</v>
      </c>
      <c r="D187" s="6">
        <f t="shared" si="1"/>
        <v>0</v>
      </c>
      <c r="E187" s="7">
        <f t="shared" si="2"/>
        <v>0</v>
      </c>
      <c r="F187" s="6">
        <f>VLOOKUP(A187,Actual_Revenue!A:G,3,false)</f>
        <v>2794</v>
      </c>
      <c r="G187" s="6">
        <f>VLOOKUP(A187,Actual_Revenue!A:G,5,false)</f>
        <v>2794</v>
      </c>
      <c r="H187" s="6">
        <f t="shared" si="3"/>
        <v>0</v>
      </c>
      <c r="I187" s="5" t="str">
        <f t="shared" si="4"/>
        <v>MATCHED</v>
      </c>
      <c r="J187" s="5" t="str">
        <f>VLOOKUP(A187,Actual_Revenue!A:G,7,false)</f>
        <v/>
      </c>
    </row>
    <row r="188">
      <c r="A188" s="1" t="str">
        <f>LMS_Loan_Tape!A188</f>
        <v>LN-10187</v>
      </c>
      <c r="B188" s="6">
        <f>VLOOKUP(A188,Actual_Revenue!A:G,2,FALSE)</f>
        <v>5814</v>
      </c>
      <c r="C188" s="6">
        <f>VLOOKUP(A188,Actual_Revenue!A:G,4,FALSE)</f>
        <v>5814</v>
      </c>
      <c r="D188" s="6">
        <f t="shared" si="1"/>
        <v>0</v>
      </c>
      <c r="E188" s="7">
        <f t="shared" si="2"/>
        <v>0</v>
      </c>
      <c r="F188" s="6">
        <f>VLOOKUP(A188,Actual_Revenue!A:G,3,false)</f>
        <v>2509</v>
      </c>
      <c r="G188" s="6">
        <f>VLOOKUP(A188,Actual_Revenue!A:G,5,false)</f>
        <v>2509</v>
      </c>
      <c r="H188" s="6">
        <f t="shared" si="3"/>
        <v>0</v>
      </c>
      <c r="I188" s="5" t="str">
        <f t="shared" si="4"/>
        <v>MATCHED</v>
      </c>
      <c r="J188" s="5" t="str">
        <f>VLOOKUP(A188,Actual_Revenue!A:G,7,false)</f>
        <v/>
      </c>
    </row>
    <row r="189">
      <c r="A189" s="1" t="str">
        <f>LMS_Loan_Tape!A189</f>
        <v>LN-10188</v>
      </c>
      <c r="B189" s="6">
        <f>VLOOKUP(A189,Actual_Revenue!A:G,2,FALSE)</f>
        <v>412010</v>
      </c>
      <c r="C189" s="6">
        <f>VLOOKUP(A189,Actual_Revenue!A:G,4,FALSE)</f>
        <v>412010</v>
      </c>
      <c r="D189" s="6">
        <f t="shared" si="1"/>
        <v>0</v>
      </c>
      <c r="E189" s="7">
        <f t="shared" si="2"/>
        <v>0</v>
      </c>
      <c r="F189" s="6">
        <f>VLOOKUP(A189,Actual_Revenue!A:G,3,false)</f>
        <v>30551</v>
      </c>
      <c r="G189" s="6">
        <f>VLOOKUP(A189,Actual_Revenue!A:G,5,false)</f>
        <v>30551</v>
      </c>
      <c r="H189" s="6">
        <f t="shared" si="3"/>
        <v>0</v>
      </c>
      <c r="I189" s="5" t="str">
        <f t="shared" si="4"/>
        <v>MATCHED</v>
      </c>
      <c r="J189" s="5" t="str">
        <f>VLOOKUP(A189,Actual_Revenue!A:G,7,false)</f>
        <v/>
      </c>
    </row>
    <row r="190">
      <c r="A190" s="1" t="str">
        <f>LMS_Loan_Tape!A190</f>
        <v>LN-10189</v>
      </c>
      <c r="B190" s="6">
        <f>VLOOKUP(A190,Actual_Revenue!A:G,2,FALSE)</f>
        <v>114762</v>
      </c>
      <c r="C190" s="6">
        <f>VLOOKUP(A190,Actual_Revenue!A:G,4,FALSE)</f>
        <v>114762</v>
      </c>
      <c r="D190" s="6">
        <f t="shared" si="1"/>
        <v>0</v>
      </c>
      <c r="E190" s="7">
        <f t="shared" si="2"/>
        <v>0</v>
      </c>
      <c r="F190" s="6">
        <f>VLOOKUP(A190,Actual_Revenue!A:G,3,false)</f>
        <v>16973</v>
      </c>
      <c r="G190" s="6">
        <f>VLOOKUP(A190,Actual_Revenue!A:G,5,false)</f>
        <v>16973</v>
      </c>
      <c r="H190" s="6">
        <f t="shared" si="3"/>
        <v>0</v>
      </c>
      <c r="I190" s="5" t="str">
        <f t="shared" si="4"/>
        <v>MATCHED</v>
      </c>
      <c r="J190" s="5" t="str">
        <f>VLOOKUP(A190,Actual_Revenue!A:G,7,false)</f>
        <v/>
      </c>
    </row>
    <row r="191">
      <c r="A191" s="1" t="str">
        <f>LMS_Loan_Tape!A191</f>
        <v>LN-10190</v>
      </c>
      <c r="B191" s="6">
        <f>VLOOKUP(A191,Actual_Revenue!A:G,2,FALSE)</f>
        <v>19959</v>
      </c>
      <c r="C191" s="6">
        <f>VLOOKUP(A191,Actual_Revenue!A:G,4,FALSE)</f>
        <v>19959</v>
      </c>
      <c r="D191" s="6">
        <f t="shared" si="1"/>
        <v>0</v>
      </c>
      <c r="E191" s="7">
        <f t="shared" si="2"/>
        <v>0</v>
      </c>
      <c r="F191" s="6">
        <f>VLOOKUP(A191,Actual_Revenue!A:G,3,false)</f>
        <v>1250</v>
      </c>
      <c r="G191" s="6">
        <f>VLOOKUP(A191,Actual_Revenue!A:G,5,false)</f>
        <v>1250</v>
      </c>
      <c r="H191" s="6">
        <f t="shared" si="3"/>
        <v>0</v>
      </c>
      <c r="I191" s="5" t="str">
        <f t="shared" si="4"/>
        <v>MATCHED</v>
      </c>
      <c r="J191" s="5" t="str">
        <f>VLOOKUP(A191,Actual_Revenue!A:G,7,false)</f>
        <v/>
      </c>
    </row>
    <row r="192">
      <c r="A192" s="1" t="str">
        <f>LMS_Loan_Tape!A192</f>
        <v>LN-10191</v>
      </c>
      <c r="B192" s="6">
        <f>VLOOKUP(A192,Actual_Revenue!A:G,2,FALSE)</f>
        <v>45390</v>
      </c>
      <c r="C192" s="6">
        <f>VLOOKUP(A192,Actual_Revenue!A:G,4,FALSE)</f>
        <v>45390</v>
      </c>
      <c r="D192" s="6">
        <f t="shared" si="1"/>
        <v>0</v>
      </c>
      <c r="E192" s="7">
        <f t="shared" si="2"/>
        <v>0</v>
      </c>
      <c r="F192" s="6">
        <f>VLOOKUP(A192,Actual_Revenue!A:G,3,false)</f>
        <v>26427</v>
      </c>
      <c r="G192" s="6">
        <f>VLOOKUP(A192,Actual_Revenue!A:G,5,false)</f>
        <v>26427</v>
      </c>
      <c r="H192" s="6">
        <f t="shared" si="3"/>
        <v>0</v>
      </c>
      <c r="I192" s="5" t="str">
        <f t="shared" si="4"/>
        <v>MATCHED</v>
      </c>
      <c r="J192" s="5" t="str">
        <f>VLOOKUP(A192,Actual_Revenue!A:G,7,false)</f>
        <v/>
      </c>
    </row>
    <row r="193">
      <c r="A193" s="1" t="str">
        <f>LMS_Loan_Tape!A193</f>
        <v>LN-10192</v>
      </c>
      <c r="B193" s="6">
        <f>VLOOKUP(A193,Actual_Revenue!A:G,2,FALSE)</f>
        <v>387413</v>
      </c>
      <c r="C193" s="6">
        <f>VLOOKUP(A193,Actual_Revenue!A:G,4,FALSE)</f>
        <v>387413</v>
      </c>
      <c r="D193" s="6">
        <f t="shared" si="1"/>
        <v>0</v>
      </c>
      <c r="E193" s="7">
        <f t="shared" si="2"/>
        <v>0</v>
      </c>
      <c r="F193" s="6">
        <f>VLOOKUP(A193,Actual_Revenue!A:G,3,false)</f>
        <v>54918</v>
      </c>
      <c r="G193" s="6">
        <f>VLOOKUP(A193,Actual_Revenue!A:G,5,false)</f>
        <v>54918</v>
      </c>
      <c r="H193" s="6">
        <f t="shared" si="3"/>
        <v>0</v>
      </c>
      <c r="I193" s="5" t="str">
        <f t="shared" si="4"/>
        <v>MATCHED</v>
      </c>
      <c r="J193" s="5" t="str">
        <f>VLOOKUP(A193,Actual_Revenue!A:G,7,false)</f>
        <v/>
      </c>
    </row>
    <row r="194">
      <c r="A194" s="1" t="str">
        <f>LMS_Loan_Tape!A194</f>
        <v>LN-10193</v>
      </c>
      <c r="B194" s="6">
        <f>VLOOKUP(A194,Actual_Revenue!A:G,2,FALSE)</f>
        <v>114411</v>
      </c>
      <c r="C194" s="6">
        <f>VLOOKUP(A194,Actual_Revenue!A:G,4,FALSE)</f>
        <v>114411</v>
      </c>
      <c r="D194" s="6">
        <f t="shared" si="1"/>
        <v>0</v>
      </c>
      <c r="E194" s="7">
        <f t="shared" si="2"/>
        <v>0</v>
      </c>
      <c r="F194" s="6">
        <f>VLOOKUP(A194,Actual_Revenue!A:G,3,false)</f>
        <v>26881</v>
      </c>
      <c r="G194" s="6">
        <f>VLOOKUP(A194,Actual_Revenue!A:G,5,false)</f>
        <v>26881</v>
      </c>
      <c r="H194" s="6">
        <f t="shared" si="3"/>
        <v>0</v>
      </c>
      <c r="I194" s="5" t="str">
        <f t="shared" si="4"/>
        <v>MATCHED</v>
      </c>
      <c r="J194" s="5" t="str">
        <f>VLOOKUP(A194,Actual_Revenue!A:G,7,false)</f>
        <v/>
      </c>
    </row>
    <row r="195">
      <c r="A195" s="1" t="str">
        <f>LMS_Loan_Tape!A195</f>
        <v>LN-10194</v>
      </c>
      <c r="B195" s="6">
        <f>VLOOKUP(A195,Actual_Revenue!A:G,2,FALSE)</f>
        <v>27266</v>
      </c>
      <c r="C195" s="6">
        <f>VLOOKUP(A195,Actual_Revenue!A:G,4,FALSE)</f>
        <v>28629</v>
      </c>
      <c r="D195" s="6">
        <f t="shared" si="1"/>
        <v>-1363</v>
      </c>
      <c r="E195" s="7">
        <f t="shared" si="2"/>
        <v>-0.04998899729</v>
      </c>
      <c r="F195" s="6">
        <f>VLOOKUP(A195,Actual_Revenue!A:G,3,false)</f>
        <v>12880</v>
      </c>
      <c r="G195" s="6">
        <f>VLOOKUP(A195,Actual_Revenue!A:G,5,false)</f>
        <v>12880</v>
      </c>
      <c r="H195" s="6">
        <f t="shared" si="3"/>
        <v>0</v>
      </c>
      <c r="I195" s="5" t="str">
        <f t="shared" si="4"/>
        <v>EXCEPTION</v>
      </c>
      <c r="J195" s="5" t="str">
        <f>VLOOKUP(A195,Actual_Revenue!A:G,7,false)</f>
        <v>Rate Change</v>
      </c>
    </row>
    <row r="196">
      <c r="A196" s="1" t="str">
        <f>LMS_Loan_Tape!A196</f>
        <v>LN-10195</v>
      </c>
      <c r="B196" s="6">
        <f>VLOOKUP(A196,Actual_Revenue!A:G,2,FALSE)</f>
        <v>228576</v>
      </c>
      <c r="C196" s="6">
        <f>VLOOKUP(A196,Actual_Revenue!A:G,4,FALSE)</f>
        <v>228576</v>
      </c>
      <c r="D196" s="6">
        <f t="shared" si="1"/>
        <v>0</v>
      </c>
      <c r="E196" s="7">
        <f t="shared" si="2"/>
        <v>0</v>
      </c>
      <c r="F196" s="6">
        <f>VLOOKUP(A196,Actual_Revenue!A:G,3,false)</f>
        <v>22933</v>
      </c>
      <c r="G196" s="6">
        <f>VLOOKUP(A196,Actual_Revenue!A:G,5,false)</f>
        <v>22933</v>
      </c>
      <c r="H196" s="6">
        <f t="shared" si="3"/>
        <v>0</v>
      </c>
      <c r="I196" s="5" t="str">
        <f t="shared" si="4"/>
        <v>MATCHED</v>
      </c>
      <c r="J196" s="5" t="str">
        <f>VLOOKUP(A196,Actual_Revenue!A:G,7,false)</f>
        <v/>
      </c>
    </row>
    <row r="197">
      <c r="A197" s="1" t="str">
        <f>LMS_Loan_Tape!A197</f>
        <v>LN-10196</v>
      </c>
      <c r="B197" s="6">
        <f>VLOOKUP(A197,Actual_Revenue!A:G,2,FALSE)</f>
        <v>96653</v>
      </c>
      <c r="C197" s="6">
        <f>VLOOKUP(A197,Actual_Revenue!A:G,4,FALSE)</f>
        <v>94719</v>
      </c>
      <c r="D197" s="6">
        <f t="shared" si="1"/>
        <v>1934</v>
      </c>
      <c r="E197" s="7">
        <f t="shared" si="2"/>
        <v>0.02000972551</v>
      </c>
      <c r="F197" s="6">
        <f>VLOOKUP(A197,Actual_Revenue!A:G,3,false)</f>
        <v>10718</v>
      </c>
      <c r="G197" s="6">
        <f>VLOOKUP(A197,Actual_Revenue!A:G,5,false)</f>
        <v>10718</v>
      </c>
      <c r="H197" s="6">
        <f t="shared" si="3"/>
        <v>0</v>
      </c>
      <c r="I197" s="5" t="str">
        <f t="shared" si="4"/>
        <v>EXCEPTION</v>
      </c>
      <c r="J197" s="5" t="str">
        <f>VLOOKUP(A197,Actual_Revenue!A:G,7,false)</f>
        <v/>
      </c>
    </row>
    <row r="198">
      <c r="A198" s="1" t="str">
        <f>LMS_Loan_Tape!A198</f>
        <v>LN-10197</v>
      </c>
      <c r="B198" s="6">
        <f>VLOOKUP(A198,Actual_Revenue!A:G,2,FALSE)</f>
        <v>54167</v>
      </c>
      <c r="C198" s="6">
        <f>VLOOKUP(A198,Actual_Revenue!A:G,4,FALSE)</f>
        <v>54167</v>
      </c>
      <c r="D198" s="6">
        <f t="shared" si="1"/>
        <v>0</v>
      </c>
      <c r="E198" s="7">
        <f t="shared" si="2"/>
        <v>0</v>
      </c>
      <c r="F198" s="6">
        <f>VLOOKUP(A198,Actual_Revenue!A:G,3,false)</f>
        <v>25328</v>
      </c>
      <c r="G198" s="6">
        <f>VLOOKUP(A198,Actual_Revenue!A:G,5,false)</f>
        <v>25328</v>
      </c>
      <c r="H198" s="6">
        <f t="shared" si="3"/>
        <v>0</v>
      </c>
      <c r="I198" s="5" t="str">
        <f t="shared" si="4"/>
        <v>MATCHED</v>
      </c>
      <c r="J198" s="5" t="str">
        <f>VLOOKUP(A198,Actual_Revenue!A:G,7,false)</f>
        <v/>
      </c>
    </row>
    <row r="199">
      <c r="A199" s="1" t="str">
        <f>LMS_Loan_Tape!A199</f>
        <v>LN-10198</v>
      </c>
      <c r="B199" s="6">
        <f>VLOOKUP(A199,Actual_Revenue!A:G,2,FALSE)</f>
        <v>182518</v>
      </c>
      <c r="C199" s="6">
        <f>VLOOKUP(A199,Actual_Revenue!A:G,4,FALSE)</f>
        <v>182518</v>
      </c>
      <c r="D199" s="6">
        <f t="shared" si="1"/>
        <v>0</v>
      </c>
      <c r="E199" s="7">
        <f t="shared" si="2"/>
        <v>0</v>
      </c>
      <c r="F199" s="6">
        <f>VLOOKUP(A199,Actual_Revenue!A:G,3,false)</f>
        <v>56410</v>
      </c>
      <c r="G199" s="6">
        <f>VLOOKUP(A199,Actual_Revenue!A:G,5,false)</f>
        <v>56410</v>
      </c>
      <c r="H199" s="6">
        <f t="shared" si="3"/>
        <v>0</v>
      </c>
      <c r="I199" s="5" t="str">
        <f t="shared" si="4"/>
        <v>MATCHED</v>
      </c>
      <c r="J199" s="5" t="str">
        <f>VLOOKUP(A199,Actual_Revenue!A:G,7,false)</f>
        <v/>
      </c>
    </row>
    <row r="200">
      <c r="A200" s="1" t="str">
        <f>LMS_Loan_Tape!A200</f>
        <v>LN-10199</v>
      </c>
      <c r="B200" s="6">
        <f>VLOOKUP(A200,Actual_Revenue!A:G,2,FALSE)</f>
        <v>484656</v>
      </c>
      <c r="C200" s="6">
        <f>VLOOKUP(A200,Actual_Revenue!A:G,4,FALSE)</f>
        <v>484656</v>
      </c>
      <c r="D200" s="6">
        <f t="shared" si="1"/>
        <v>0</v>
      </c>
      <c r="E200" s="7">
        <f t="shared" si="2"/>
        <v>0</v>
      </c>
      <c r="F200" s="6">
        <f>VLOOKUP(A200,Actual_Revenue!A:G,3,false)</f>
        <v>33488</v>
      </c>
      <c r="G200" s="6">
        <f>VLOOKUP(A200,Actual_Revenue!A:G,5,false)</f>
        <v>33488</v>
      </c>
      <c r="H200" s="6">
        <f t="shared" si="3"/>
        <v>0</v>
      </c>
      <c r="I200" s="5" t="str">
        <f t="shared" si="4"/>
        <v>MATCHED</v>
      </c>
      <c r="J200" s="5" t="str">
        <f>VLOOKUP(A200,Actual_Revenue!A:G,7,false)</f>
        <v/>
      </c>
    </row>
    <row r="201">
      <c r="A201" s="1" t="str">
        <f>LMS_Loan_Tape!A201</f>
        <v>LN-10200</v>
      </c>
      <c r="B201" s="6">
        <f>VLOOKUP(A201,Actual_Revenue!A:G,2,FALSE)</f>
        <v>115195</v>
      </c>
      <c r="C201" s="6">
        <f>VLOOKUP(A201,Actual_Revenue!A:G,4,FALSE)</f>
        <v>115195</v>
      </c>
      <c r="D201" s="6">
        <f t="shared" si="1"/>
        <v>0</v>
      </c>
      <c r="E201" s="7">
        <f t="shared" si="2"/>
        <v>0</v>
      </c>
      <c r="F201" s="6">
        <f>VLOOKUP(A201,Actual_Revenue!A:G,3,false)</f>
        <v>24435</v>
      </c>
      <c r="G201" s="6">
        <f>VLOOKUP(A201,Actual_Revenue!A:G,5,false)</f>
        <v>24435</v>
      </c>
      <c r="H201" s="6">
        <f t="shared" si="3"/>
        <v>0</v>
      </c>
      <c r="I201" s="5" t="str">
        <f t="shared" si="4"/>
        <v>MATCHED</v>
      </c>
      <c r="J201" s="5" t="str">
        <f>VLOOKUP(A201,Actual_Revenue!A:G,7,false)</f>
        <v/>
      </c>
    </row>
    <row r="202">
      <c r="A202" s="1" t="str">
        <f>LMS_Loan_Tape!A202</f>
        <v>LN-10201</v>
      </c>
      <c r="B202" s="6">
        <f>VLOOKUP(A202,Actual_Revenue!A:G,2,FALSE)</f>
        <v>77446</v>
      </c>
      <c r="C202" s="6">
        <f>VLOOKUP(A202,Actual_Revenue!A:G,4,FALSE)</f>
        <v>77446</v>
      </c>
      <c r="D202" s="6">
        <f t="shared" si="1"/>
        <v>0</v>
      </c>
      <c r="E202" s="7">
        <f t="shared" si="2"/>
        <v>0</v>
      </c>
      <c r="F202" s="6">
        <f>VLOOKUP(A202,Actual_Revenue!A:G,3,false)</f>
        <v>9810</v>
      </c>
      <c r="G202" s="6">
        <f>VLOOKUP(A202,Actual_Revenue!A:G,5,false)</f>
        <v>9810</v>
      </c>
      <c r="H202" s="6">
        <f t="shared" si="3"/>
        <v>0</v>
      </c>
      <c r="I202" s="5" t="str">
        <f t="shared" si="4"/>
        <v>MATCHED</v>
      </c>
      <c r="J202" s="5" t="str">
        <f>VLOOKUP(A202,Actual_Revenue!A:G,7,false)</f>
        <v/>
      </c>
    </row>
    <row r="203">
      <c r="A203" s="1" t="str">
        <f>LMS_Loan_Tape!A203</f>
        <v>LN-10202</v>
      </c>
      <c r="B203" s="6">
        <f>VLOOKUP(A203,Actual_Revenue!A:G,2,FALSE)</f>
        <v>238028</v>
      </c>
      <c r="C203" s="6">
        <f>VLOOKUP(A203,Actual_Revenue!A:G,4,FALSE)</f>
        <v>238028</v>
      </c>
      <c r="D203" s="6">
        <f t="shared" si="1"/>
        <v>0</v>
      </c>
      <c r="E203" s="7">
        <f t="shared" si="2"/>
        <v>0</v>
      </c>
      <c r="F203" s="6">
        <f>VLOOKUP(A203,Actual_Revenue!A:G,3,false)</f>
        <v>20310</v>
      </c>
      <c r="G203" s="6">
        <f>VLOOKUP(A203,Actual_Revenue!A:G,5,false)</f>
        <v>20310</v>
      </c>
      <c r="H203" s="6">
        <f t="shared" si="3"/>
        <v>0</v>
      </c>
      <c r="I203" s="5" t="str">
        <f t="shared" si="4"/>
        <v>MATCHED</v>
      </c>
      <c r="J203" s="5" t="str">
        <f>VLOOKUP(A203,Actual_Revenue!A:G,7,false)</f>
        <v/>
      </c>
    </row>
    <row r="204">
      <c r="A204" s="1" t="str">
        <f>LMS_Loan_Tape!A204</f>
        <v>LN-10203</v>
      </c>
      <c r="B204" s="6">
        <f>VLOOKUP(A204,Actual_Revenue!A:G,2,FALSE)</f>
        <v>37186</v>
      </c>
      <c r="C204" s="6">
        <f>VLOOKUP(A204,Actual_Revenue!A:G,4,FALSE)</f>
        <v>29748</v>
      </c>
      <c r="D204" s="6">
        <f t="shared" si="1"/>
        <v>7438</v>
      </c>
      <c r="E204" s="7">
        <f t="shared" si="2"/>
        <v>0.2000215135</v>
      </c>
      <c r="F204" s="6">
        <f>VLOOKUP(A204,Actual_Revenue!A:G,3,false)</f>
        <v>9906</v>
      </c>
      <c r="G204" s="6">
        <f>VLOOKUP(A204,Actual_Revenue!A:G,5,false)</f>
        <v>9906</v>
      </c>
      <c r="H204" s="6">
        <f t="shared" si="3"/>
        <v>0</v>
      </c>
      <c r="I204" s="5" t="str">
        <f t="shared" si="4"/>
        <v>EXCEPTION</v>
      </c>
      <c r="J204" s="5" t="str">
        <f>VLOOKUP(A204,Actual_Revenue!A:G,7,false)</f>
        <v>Prepayment</v>
      </c>
    </row>
    <row r="205">
      <c r="A205" s="1" t="str">
        <f>LMS_Loan_Tape!A205</f>
        <v>LN-10204</v>
      </c>
      <c r="B205" s="6">
        <f>VLOOKUP(A205,Actual_Revenue!A:G,2,FALSE)</f>
        <v>106109</v>
      </c>
      <c r="C205" s="6">
        <f>VLOOKUP(A205,Actual_Revenue!A:G,4,FALSE)</f>
        <v>106109</v>
      </c>
      <c r="D205" s="6">
        <f t="shared" si="1"/>
        <v>0</v>
      </c>
      <c r="E205" s="7">
        <f t="shared" si="2"/>
        <v>0</v>
      </c>
      <c r="F205" s="6">
        <f>VLOOKUP(A205,Actual_Revenue!A:G,3,false)</f>
        <v>14993</v>
      </c>
      <c r="G205" s="6">
        <f>VLOOKUP(A205,Actual_Revenue!A:G,5,false)</f>
        <v>14843</v>
      </c>
      <c r="H205" s="6">
        <f t="shared" si="3"/>
        <v>150</v>
      </c>
      <c r="I205" s="5" t="str">
        <f t="shared" si="4"/>
        <v>EXCEPTION</v>
      </c>
      <c r="J205" s="5" t="str">
        <f>VLOOKUP(A205,Actual_Revenue!A:G,7,false)</f>
        <v/>
      </c>
    </row>
    <row r="206">
      <c r="A206" s="1" t="str">
        <f>LMS_Loan_Tape!A206</f>
        <v>LN-10205</v>
      </c>
      <c r="B206" s="6">
        <f>VLOOKUP(A206,Actual_Revenue!A:G,2,FALSE)</f>
        <v>62152</v>
      </c>
      <c r="C206" s="6">
        <f>VLOOKUP(A206,Actual_Revenue!A:G,4,FALSE)</f>
        <v>62152</v>
      </c>
      <c r="D206" s="6">
        <f t="shared" si="1"/>
        <v>0</v>
      </c>
      <c r="E206" s="7">
        <f t="shared" si="2"/>
        <v>0</v>
      </c>
      <c r="F206" s="6">
        <f>VLOOKUP(A206,Actual_Revenue!A:G,3,false)</f>
        <v>41052</v>
      </c>
      <c r="G206" s="6">
        <f>VLOOKUP(A206,Actual_Revenue!A:G,5,false)</f>
        <v>41052</v>
      </c>
      <c r="H206" s="6">
        <f t="shared" si="3"/>
        <v>0</v>
      </c>
      <c r="I206" s="5" t="str">
        <f t="shared" si="4"/>
        <v>MATCHED</v>
      </c>
      <c r="J206" s="5" t="str">
        <f>VLOOKUP(A206,Actual_Revenue!A:G,7,false)</f>
        <v/>
      </c>
    </row>
    <row r="207">
      <c r="A207" s="1" t="str">
        <f>LMS_Loan_Tape!A207</f>
        <v>LN-10206</v>
      </c>
      <c r="B207" s="6">
        <f>VLOOKUP(A207,Actual_Revenue!A:G,2,FALSE)</f>
        <v>2254</v>
      </c>
      <c r="C207" s="6">
        <f>VLOOKUP(A207,Actual_Revenue!A:G,4,FALSE)</f>
        <v>2254</v>
      </c>
      <c r="D207" s="6">
        <f t="shared" si="1"/>
        <v>0</v>
      </c>
      <c r="E207" s="7">
        <f t="shared" si="2"/>
        <v>0</v>
      </c>
      <c r="F207" s="6">
        <f>VLOOKUP(A207,Actual_Revenue!A:G,3,false)</f>
        <v>829</v>
      </c>
      <c r="G207" s="6">
        <f>VLOOKUP(A207,Actual_Revenue!A:G,5,false)</f>
        <v>829</v>
      </c>
      <c r="H207" s="6">
        <f t="shared" si="3"/>
        <v>0</v>
      </c>
      <c r="I207" s="5" t="str">
        <f t="shared" si="4"/>
        <v>MATCHED</v>
      </c>
      <c r="J207" s="5" t="str">
        <f>VLOOKUP(A207,Actual_Revenue!A:G,7,false)</f>
        <v/>
      </c>
    </row>
    <row r="208">
      <c r="A208" s="1" t="str">
        <f>LMS_Loan_Tape!A208</f>
        <v>LN-10207</v>
      </c>
      <c r="B208" s="6">
        <f>VLOOKUP(A208,Actual_Revenue!A:G,2,FALSE)</f>
        <v>16303</v>
      </c>
      <c r="C208" s="6">
        <f>VLOOKUP(A208,Actual_Revenue!A:G,4,FALSE)</f>
        <v>16303</v>
      </c>
      <c r="D208" s="6">
        <f t="shared" si="1"/>
        <v>0</v>
      </c>
      <c r="E208" s="7">
        <f t="shared" si="2"/>
        <v>0</v>
      </c>
      <c r="F208" s="6">
        <f>VLOOKUP(A208,Actual_Revenue!A:G,3,false)</f>
        <v>1370</v>
      </c>
      <c r="G208" s="6">
        <f>VLOOKUP(A208,Actual_Revenue!A:G,5,false)</f>
        <v>1370</v>
      </c>
      <c r="H208" s="6">
        <f t="shared" si="3"/>
        <v>0</v>
      </c>
      <c r="I208" s="5" t="str">
        <f t="shared" si="4"/>
        <v>MATCHED</v>
      </c>
      <c r="J208" s="5" t="str">
        <f>VLOOKUP(A208,Actual_Revenue!A:G,7,false)</f>
        <v/>
      </c>
    </row>
    <row r="209">
      <c r="A209" s="1" t="str">
        <f>LMS_Loan_Tape!A209</f>
        <v>LN-10208</v>
      </c>
      <c r="B209" s="6">
        <f>VLOOKUP(A209,Actual_Revenue!A:G,2,FALSE)</f>
        <v>424966</v>
      </c>
      <c r="C209" s="6">
        <f>VLOOKUP(A209,Actual_Revenue!A:G,4,FALSE)</f>
        <v>254979</v>
      </c>
      <c r="D209" s="6">
        <f t="shared" si="1"/>
        <v>169987</v>
      </c>
      <c r="E209" s="7">
        <f t="shared" si="2"/>
        <v>0.4000014119</v>
      </c>
      <c r="F209" s="6">
        <f>VLOOKUP(A209,Actual_Revenue!A:G,3,false)</f>
        <v>29131</v>
      </c>
      <c r="G209" s="6">
        <f>VLOOKUP(A209,Actual_Revenue!A:G,5,false)</f>
        <v>29131</v>
      </c>
      <c r="H209" s="6">
        <f t="shared" si="3"/>
        <v>0</v>
      </c>
      <c r="I209" s="5" t="str">
        <f t="shared" si="4"/>
        <v>EXCEPTION</v>
      </c>
      <c r="J209" s="5" t="str">
        <f>VLOOKUP(A209,Actual_Revenue!A:G,7,false)</f>
        <v>Partial Payment</v>
      </c>
    </row>
    <row r="210">
      <c r="A210" s="1" t="str">
        <f>LMS_Loan_Tape!A210</f>
        <v>LN-10209</v>
      </c>
      <c r="B210" s="6">
        <f>VLOOKUP(A210,Actual_Revenue!A:G,2,FALSE)</f>
        <v>421436</v>
      </c>
      <c r="C210" s="6">
        <f>VLOOKUP(A210,Actual_Revenue!A:G,4,FALSE)</f>
        <v>421436</v>
      </c>
      <c r="D210" s="6">
        <f t="shared" si="1"/>
        <v>0</v>
      </c>
      <c r="E210" s="7">
        <f t="shared" si="2"/>
        <v>0</v>
      </c>
      <c r="F210" s="6">
        <f>VLOOKUP(A210,Actual_Revenue!A:G,3,false)</f>
        <v>25577</v>
      </c>
      <c r="G210" s="6">
        <f>VLOOKUP(A210,Actual_Revenue!A:G,5,false)</f>
        <v>25577</v>
      </c>
      <c r="H210" s="6">
        <f t="shared" si="3"/>
        <v>0</v>
      </c>
      <c r="I210" s="5" t="str">
        <f t="shared" si="4"/>
        <v>MATCHED</v>
      </c>
      <c r="J210" s="5" t="str">
        <f>VLOOKUP(A210,Actual_Revenue!A:G,7,false)</f>
        <v/>
      </c>
    </row>
    <row r="211">
      <c r="A211" s="1" t="str">
        <f>LMS_Loan_Tape!A211</f>
        <v>LN-10210</v>
      </c>
      <c r="B211" s="6">
        <f>VLOOKUP(A211,Actual_Revenue!A:G,2,FALSE)</f>
        <v>197606</v>
      </c>
      <c r="C211" s="6">
        <f>VLOOKUP(A211,Actual_Revenue!A:G,4,FALSE)</f>
        <v>197606</v>
      </c>
      <c r="D211" s="6">
        <f t="shared" si="1"/>
        <v>0</v>
      </c>
      <c r="E211" s="7">
        <f t="shared" si="2"/>
        <v>0</v>
      </c>
      <c r="F211" s="6">
        <f>VLOOKUP(A211,Actual_Revenue!A:G,3,false)</f>
        <v>22571</v>
      </c>
      <c r="G211" s="6">
        <f>VLOOKUP(A211,Actual_Revenue!A:G,5,false)</f>
        <v>22345</v>
      </c>
      <c r="H211" s="6">
        <f t="shared" si="3"/>
        <v>226</v>
      </c>
      <c r="I211" s="5" t="str">
        <f t="shared" si="4"/>
        <v>EXCEPTION</v>
      </c>
      <c r="J211" s="5" t="str">
        <f>VLOOKUP(A211,Actual_Revenue!A:G,7,false)</f>
        <v/>
      </c>
    </row>
    <row r="212">
      <c r="A212" s="1" t="str">
        <f>LMS_Loan_Tape!A212</f>
        <v>LN-10211</v>
      </c>
      <c r="B212" s="6">
        <f>VLOOKUP(A212,Actual_Revenue!A:G,2,FALSE)</f>
        <v>72728</v>
      </c>
      <c r="C212" s="6">
        <f>VLOOKUP(A212,Actual_Revenue!A:G,4,FALSE)</f>
        <v>72728</v>
      </c>
      <c r="D212" s="6">
        <f t="shared" si="1"/>
        <v>0</v>
      </c>
      <c r="E212" s="7">
        <f t="shared" si="2"/>
        <v>0</v>
      </c>
      <c r="F212" s="6">
        <f>VLOOKUP(A212,Actual_Revenue!A:G,3,false)</f>
        <v>19709</v>
      </c>
      <c r="G212" s="6">
        <f>VLOOKUP(A212,Actual_Revenue!A:G,5,false)</f>
        <v>19709</v>
      </c>
      <c r="H212" s="6">
        <f t="shared" si="3"/>
        <v>0</v>
      </c>
      <c r="I212" s="5" t="str">
        <f t="shared" si="4"/>
        <v>MATCHED</v>
      </c>
      <c r="J212" s="5" t="str">
        <f>VLOOKUP(A212,Actual_Revenue!A:G,7,false)</f>
        <v/>
      </c>
    </row>
    <row r="213">
      <c r="A213" s="1" t="str">
        <f>LMS_Loan_Tape!A213</f>
        <v>LN-10212</v>
      </c>
      <c r="B213" s="6">
        <f>VLOOKUP(A213,Actual_Revenue!A:G,2,FALSE)</f>
        <v>67038</v>
      </c>
      <c r="C213" s="6">
        <f>VLOOKUP(A213,Actual_Revenue!A:G,4,FALSE)</f>
        <v>67841</v>
      </c>
      <c r="D213" s="6">
        <f t="shared" si="1"/>
        <v>-803</v>
      </c>
      <c r="E213" s="7">
        <f t="shared" si="2"/>
        <v>-0.01197828097</v>
      </c>
      <c r="F213" s="6">
        <f>VLOOKUP(A213,Actual_Revenue!A:G,3,false)</f>
        <v>13763</v>
      </c>
      <c r="G213" s="6">
        <f>VLOOKUP(A213,Actual_Revenue!A:G,5,false)</f>
        <v>13763</v>
      </c>
      <c r="H213" s="6">
        <f t="shared" si="3"/>
        <v>0</v>
      </c>
      <c r="I213" s="5" t="str">
        <f t="shared" si="4"/>
        <v>EXCEPTION</v>
      </c>
      <c r="J213" s="5" t="str">
        <f>VLOOKUP(A213,Actual_Revenue!A:G,7,false)</f>
        <v>System Error</v>
      </c>
    </row>
    <row r="214">
      <c r="A214" s="1" t="str">
        <f>LMS_Loan_Tape!A214</f>
        <v>LN-10213</v>
      </c>
      <c r="B214" s="6">
        <f>VLOOKUP(A214,Actual_Revenue!A:G,2,FALSE)</f>
        <v>264467</v>
      </c>
      <c r="C214" s="6">
        <f>VLOOKUP(A214,Actual_Revenue!A:G,4,FALSE)</f>
        <v>158680</v>
      </c>
      <c r="D214" s="6">
        <f t="shared" si="1"/>
        <v>105787</v>
      </c>
      <c r="E214" s="7">
        <f t="shared" si="2"/>
        <v>0.4000007562</v>
      </c>
      <c r="F214" s="6">
        <f>VLOOKUP(A214,Actual_Revenue!A:G,3,false)</f>
        <v>46667</v>
      </c>
      <c r="G214" s="6">
        <f>VLOOKUP(A214,Actual_Revenue!A:G,5,false)</f>
        <v>46667</v>
      </c>
      <c r="H214" s="6">
        <f t="shared" si="3"/>
        <v>0</v>
      </c>
      <c r="I214" s="5" t="str">
        <f t="shared" si="4"/>
        <v>EXCEPTION</v>
      </c>
      <c r="J214" s="5" t="str">
        <f>VLOOKUP(A214,Actual_Revenue!A:G,7,false)</f>
        <v>Partial Payment</v>
      </c>
    </row>
    <row r="215">
      <c r="A215" s="1" t="str">
        <f>LMS_Loan_Tape!A215</f>
        <v>LN-10214</v>
      </c>
      <c r="B215" s="6">
        <f>VLOOKUP(A215,Actual_Revenue!A:G,2,FALSE)</f>
        <v>73486</v>
      </c>
      <c r="C215" s="6">
        <f>VLOOKUP(A215,Actual_Revenue!A:G,4,FALSE)</f>
        <v>73486</v>
      </c>
      <c r="D215" s="6">
        <f t="shared" si="1"/>
        <v>0</v>
      </c>
      <c r="E215" s="7">
        <f t="shared" si="2"/>
        <v>0</v>
      </c>
      <c r="F215" s="6">
        <f>VLOOKUP(A215,Actual_Revenue!A:G,3,false)</f>
        <v>23374</v>
      </c>
      <c r="G215" s="6">
        <f>VLOOKUP(A215,Actual_Revenue!A:G,5,false)</f>
        <v>23374</v>
      </c>
      <c r="H215" s="6">
        <f t="shared" si="3"/>
        <v>0</v>
      </c>
      <c r="I215" s="5" t="str">
        <f t="shared" si="4"/>
        <v>MATCHED</v>
      </c>
      <c r="J215" s="5" t="str">
        <f>VLOOKUP(A215,Actual_Revenue!A:G,7,false)</f>
        <v/>
      </c>
    </row>
    <row r="216">
      <c r="A216" s="1" t="str">
        <f>LMS_Loan_Tape!A216</f>
        <v>LN-10215</v>
      </c>
      <c r="B216" s="6">
        <f>VLOOKUP(A216,Actual_Revenue!A:G,2,FALSE)</f>
        <v>63078</v>
      </c>
      <c r="C216" s="6">
        <f>VLOOKUP(A216,Actual_Revenue!A:G,4,FALSE)</f>
        <v>63078</v>
      </c>
      <c r="D216" s="6">
        <f t="shared" si="1"/>
        <v>0</v>
      </c>
      <c r="E216" s="7">
        <f t="shared" si="2"/>
        <v>0</v>
      </c>
      <c r="F216" s="6">
        <f>VLOOKUP(A216,Actual_Revenue!A:G,3,false)</f>
        <v>8244</v>
      </c>
      <c r="G216" s="6">
        <f>VLOOKUP(A216,Actual_Revenue!A:G,5,false)</f>
        <v>8244</v>
      </c>
      <c r="H216" s="6">
        <f t="shared" si="3"/>
        <v>0</v>
      </c>
      <c r="I216" s="5" t="str">
        <f t="shared" si="4"/>
        <v>MATCHED</v>
      </c>
      <c r="J216" s="5" t="str">
        <f>VLOOKUP(A216,Actual_Revenue!A:G,7,false)</f>
        <v/>
      </c>
    </row>
    <row r="217">
      <c r="A217" s="1" t="str">
        <f>LMS_Loan_Tape!A217</f>
        <v>LN-10216</v>
      </c>
      <c r="B217" s="6">
        <f>VLOOKUP(A217,Actual_Revenue!A:G,2,FALSE)</f>
        <v>13093</v>
      </c>
      <c r="C217" s="6">
        <f>VLOOKUP(A217,Actual_Revenue!A:G,4,FALSE)</f>
        <v>13093</v>
      </c>
      <c r="D217" s="6">
        <f t="shared" si="1"/>
        <v>0</v>
      </c>
      <c r="E217" s="7">
        <f t="shared" si="2"/>
        <v>0</v>
      </c>
      <c r="F217" s="6">
        <f>VLOOKUP(A217,Actual_Revenue!A:G,3,false)</f>
        <v>4896</v>
      </c>
      <c r="G217" s="6">
        <f>VLOOKUP(A217,Actual_Revenue!A:G,5,false)</f>
        <v>4896</v>
      </c>
      <c r="H217" s="6">
        <f t="shared" si="3"/>
        <v>0</v>
      </c>
      <c r="I217" s="5" t="str">
        <f t="shared" si="4"/>
        <v>MATCHED</v>
      </c>
      <c r="J217" s="5" t="str">
        <f>VLOOKUP(A217,Actual_Revenue!A:G,7,false)</f>
        <v/>
      </c>
    </row>
    <row r="218">
      <c r="A218" s="1" t="str">
        <f>LMS_Loan_Tape!A218</f>
        <v>LN-10217</v>
      </c>
      <c r="B218" s="6">
        <f>VLOOKUP(A218,Actual_Revenue!A:G,2,FALSE)</f>
        <v>355174</v>
      </c>
      <c r="C218" s="6">
        <f>VLOOKUP(A218,Actual_Revenue!A:G,4,FALSE)</f>
        <v>355174</v>
      </c>
      <c r="D218" s="6">
        <f t="shared" si="1"/>
        <v>0</v>
      </c>
      <c r="E218" s="7">
        <f t="shared" si="2"/>
        <v>0</v>
      </c>
      <c r="F218" s="6">
        <f>VLOOKUP(A218,Actual_Revenue!A:G,3,false)</f>
        <v>40963</v>
      </c>
      <c r="G218" s="6">
        <f>VLOOKUP(A218,Actual_Revenue!A:G,5,false)</f>
        <v>40963</v>
      </c>
      <c r="H218" s="6">
        <f t="shared" si="3"/>
        <v>0</v>
      </c>
      <c r="I218" s="5" t="str">
        <f t="shared" si="4"/>
        <v>MATCHED</v>
      </c>
      <c r="J218" s="5" t="str">
        <f>VLOOKUP(A218,Actual_Revenue!A:G,7,false)</f>
        <v/>
      </c>
    </row>
    <row r="219">
      <c r="A219" s="1" t="str">
        <f>LMS_Loan_Tape!A219</f>
        <v>LN-10218</v>
      </c>
      <c r="B219" s="6">
        <f>VLOOKUP(A219,Actual_Revenue!A:G,2,FALSE)</f>
        <v>182595</v>
      </c>
      <c r="C219" s="6">
        <f>VLOOKUP(A219,Actual_Revenue!A:G,4,FALSE)</f>
        <v>183322</v>
      </c>
      <c r="D219" s="6">
        <f t="shared" si="1"/>
        <v>-727</v>
      </c>
      <c r="E219" s="7">
        <f t="shared" si="2"/>
        <v>-0.003981489088</v>
      </c>
      <c r="F219" s="6">
        <f>VLOOKUP(A219,Actual_Revenue!A:G,3,false)</f>
        <v>37654</v>
      </c>
      <c r="G219" s="6">
        <f>VLOOKUP(A219,Actual_Revenue!A:G,5,false)</f>
        <v>37654</v>
      </c>
      <c r="H219" s="6">
        <f t="shared" si="3"/>
        <v>0</v>
      </c>
      <c r="I219" s="5" t="str">
        <f t="shared" si="4"/>
        <v>EXCEPTION</v>
      </c>
      <c r="J219" s="5" t="str">
        <f>VLOOKUP(A219,Actual_Revenue!A:G,7,false)</f>
        <v>System Error</v>
      </c>
    </row>
    <row r="220">
      <c r="A220" s="1" t="str">
        <f>LMS_Loan_Tape!A220</f>
        <v>LN-10219</v>
      </c>
      <c r="B220" s="6">
        <f>VLOOKUP(A220,Actual_Revenue!A:G,2,FALSE)</f>
        <v>52579</v>
      </c>
      <c r="C220" s="6">
        <f>VLOOKUP(A220,Actual_Revenue!A:G,4,FALSE)</f>
        <v>52579</v>
      </c>
      <c r="D220" s="6">
        <f t="shared" si="1"/>
        <v>0</v>
      </c>
      <c r="E220" s="7">
        <f t="shared" si="2"/>
        <v>0</v>
      </c>
      <c r="F220" s="6">
        <f>VLOOKUP(A220,Actual_Revenue!A:G,3,false)</f>
        <v>15372</v>
      </c>
      <c r="G220" s="6">
        <f>VLOOKUP(A220,Actual_Revenue!A:G,5,false)</f>
        <v>15372</v>
      </c>
      <c r="H220" s="6">
        <f t="shared" si="3"/>
        <v>0</v>
      </c>
      <c r="I220" s="5" t="str">
        <f t="shared" si="4"/>
        <v>MATCHED</v>
      </c>
      <c r="J220" s="5" t="str">
        <f>VLOOKUP(A220,Actual_Revenue!A:G,7,false)</f>
        <v/>
      </c>
    </row>
    <row r="221">
      <c r="A221" s="1" t="str">
        <f>LMS_Loan_Tape!A221</f>
        <v>LN-10220</v>
      </c>
      <c r="B221" s="6">
        <f>VLOOKUP(A221,Actual_Revenue!A:G,2,FALSE)</f>
        <v>174227</v>
      </c>
      <c r="C221" s="6">
        <f>VLOOKUP(A221,Actual_Revenue!A:G,4,FALSE)</f>
        <v>174818</v>
      </c>
      <c r="D221" s="6">
        <f t="shared" si="1"/>
        <v>-591</v>
      </c>
      <c r="E221" s="7">
        <f t="shared" si="2"/>
        <v>-0.003392126364</v>
      </c>
      <c r="F221" s="6">
        <f>VLOOKUP(A221,Actual_Revenue!A:G,3,false)</f>
        <v>16761</v>
      </c>
      <c r="G221" s="6">
        <f>VLOOKUP(A221,Actual_Revenue!A:G,5,false)</f>
        <v>16761</v>
      </c>
      <c r="H221" s="6">
        <f t="shared" si="3"/>
        <v>0</v>
      </c>
      <c r="I221" s="5" t="str">
        <f t="shared" si="4"/>
        <v>EXCEPTION</v>
      </c>
      <c r="J221" s="5" t="str">
        <f>VLOOKUP(A221,Actual_Revenue!A:G,7,false)</f>
        <v>System Error</v>
      </c>
    </row>
    <row r="222">
      <c r="A222" s="1" t="str">
        <f>LMS_Loan_Tape!A222</f>
        <v>LN-10221</v>
      </c>
      <c r="B222" s="6">
        <f>VLOOKUP(A222,Actual_Revenue!A:G,2,FALSE)</f>
        <v>205313</v>
      </c>
      <c r="C222" s="6">
        <f>VLOOKUP(A222,Actual_Revenue!A:G,4,FALSE)</f>
        <v>205313</v>
      </c>
      <c r="D222" s="6">
        <f t="shared" si="1"/>
        <v>0</v>
      </c>
      <c r="E222" s="7">
        <f t="shared" si="2"/>
        <v>0</v>
      </c>
      <c r="F222" s="6">
        <f>VLOOKUP(A222,Actual_Revenue!A:G,3,false)</f>
        <v>20396</v>
      </c>
      <c r="G222" s="6">
        <f>VLOOKUP(A222,Actual_Revenue!A:G,5,false)</f>
        <v>20396</v>
      </c>
      <c r="H222" s="6">
        <f t="shared" si="3"/>
        <v>0</v>
      </c>
      <c r="I222" s="5" t="str">
        <f t="shared" si="4"/>
        <v>MATCHED</v>
      </c>
      <c r="J222" s="5" t="str">
        <f>VLOOKUP(A222,Actual_Revenue!A:G,7,false)</f>
        <v/>
      </c>
    </row>
    <row r="223">
      <c r="A223" s="1" t="str">
        <f>LMS_Loan_Tape!A223</f>
        <v>LN-10222</v>
      </c>
      <c r="B223" s="6">
        <f>VLOOKUP(A223,Actual_Revenue!A:G,2,FALSE)</f>
        <v>45292</v>
      </c>
      <c r="C223" s="6">
        <f>VLOOKUP(A223,Actual_Revenue!A:G,4,FALSE)</f>
        <v>45292</v>
      </c>
      <c r="D223" s="6">
        <f t="shared" si="1"/>
        <v>0</v>
      </c>
      <c r="E223" s="7">
        <f t="shared" si="2"/>
        <v>0</v>
      </c>
      <c r="F223" s="6">
        <f>VLOOKUP(A223,Actual_Revenue!A:G,3,false)</f>
        <v>18738</v>
      </c>
      <c r="G223" s="6">
        <f>VLOOKUP(A223,Actual_Revenue!A:G,5,false)</f>
        <v>18738</v>
      </c>
      <c r="H223" s="6">
        <f t="shared" si="3"/>
        <v>0</v>
      </c>
      <c r="I223" s="5" t="str">
        <f t="shared" si="4"/>
        <v>MATCHED</v>
      </c>
      <c r="J223" s="5" t="str">
        <f>VLOOKUP(A223,Actual_Revenue!A:G,7,false)</f>
        <v/>
      </c>
    </row>
    <row r="224">
      <c r="A224" s="1" t="str">
        <f>LMS_Loan_Tape!A224</f>
        <v>LN-10223</v>
      </c>
      <c r="B224" s="6">
        <f>VLOOKUP(A224,Actual_Revenue!A:G,2,FALSE)</f>
        <v>95059</v>
      </c>
      <c r="C224" s="6">
        <f>VLOOKUP(A224,Actual_Revenue!A:G,4,FALSE)</f>
        <v>85553</v>
      </c>
      <c r="D224" s="6">
        <f t="shared" si="1"/>
        <v>9506</v>
      </c>
      <c r="E224" s="7">
        <f t="shared" si="2"/>
        <v>0.100001052</v>
      </c>
      <c r="F224" s="6">
        <f>VLOOKUP(A224,Actual_Revenue!A:G,3,false)</f>
        <v>16553</v>
      </c>
      <c r="G224" s="6">
        <f>VLOOKUP(A224,Actual_Revenue!A:G,5,false)</f>
        <v>8276</v>
      </c>
      <c r="H224" s="6">
        <f t="shared" si="3"/>
        <v>8277</v>
      </c>
      <c r="I224" s="5" t="str">
        <f t="shared" si="4"/>
        <v>EXCEPTION</v>
      </c>
      <c r="J224" s="5" t="str">
        <f>VLOOKUP(A224,Actual_Revenue!A:G,7,false)</f>
        <v>Waiver Applied</v>
      </c>
    </row>
    <row r="225">
      <c r="A225" s="1" t="str">
        <f>LMS_Loan_Tape!A225</f>
        <v>LN-10224</v>
      </c>
      <c r="B225" s="6">
        <f>VLOOKUP(A225,Actual_Revenue!A:G,2,FALSE)</f>
        <v>55054</v>
      </c>
      <c r="C225" s="6">
        <f>VLOOKUP(A225,Actual_Revenue!A:G,4,FALSE)</f>
        <v>57806</v>
      </c>
      <c r="D225" s="6">
        <f t="shared" si="1"/>
        <v>-2752</v>
      </c>
      <c r="E225" s="7">
        <f t="shared" si="2"/>
        <v>-0.04998728521</v>
      </c>
      <c r="F225" s="6">
        <f>VLOOKUP(A225,Actual_Revenue!A:G,3,false)</f>
        <v>14790</v>
      </c>
      <c r="G225" s="6">
        <f>VLOOKUP(A225,Actual_Revenue!A:G,5,false)</f>
        <v>14790</v>
      </c>
      <c r="H225" s="6">
        <f t="shared" si="3"/>
        <v>0</v>
      </c>
      <c r="I225" s="5" t="str">
        <f t="shared" si="4"/>
        <v>EXCEPTION</v>
      </c>
      <c r="J225" s="5" t="str">
        <f>VLOOKUP(A225,Actual_Revenue!A:G,7,false)</f>
        <v>Rate Change</v>
      </c>
    </row>
    <row r="226">
      <c r="A226" s="1" t="str">
        <f>LMS_Loan_Tape!A226</f>
        <v>LN-10225</v>
      </c>
      <c r="B226" s="6">
        <f>VLOOKUP(A226,Actual_Revenue!A:G,2,FALSE)</f>
        <v>32159</v>
      </c>
      <c r="C226" s="6">
        <f>VLOOKUP(A226,Actual_Revenue!A:G,4,FALSE)</f>
        <v>32159</v>
      </c>
      <c r="D226" s="6">
        <f t="shared" si="1"/>
        <v>0</v>
      </c>
      <c r="E226" s="7">
        <f t="shared" si="2"/>
        <v>0</v>
      </c>
      <c r="F226" s="6">
        <f>VLOOKUP(A226,Actual_Revenue!A:G,3,false)</f>
        <v>8553</v>
      </c>
      <c r="G226" s="6">
        <f>VLOOKUP(A226,Actual_Revenue!A:G,5,false)</f>
        <v>8553</v>
      </c>
      <c r="H226" s="6">
        <f t="shared" si="3"/>
        <v>0</v>
      </c>
      <c r="I226" s="5" t="str">
        <f t="shared" si="4"/>
        <v>MATCHED</v>
      </c>
      <c r="J226" s="5" t="str">
        <f>VLOOKUP(A226,Actual_Revenue!A:G,7,false)</f>
        <v/>
      </c>
    </row>
    <row r="227">
      <c r="A227" s="1" t="str">
        <f>LMS_Loan_Tape!A227</f>
        <v>LN-10226</v>
      </c>
      <c r="B227" s="6">
        <f>VLOOKUP(A227,Actual_Revenue!A:G,2,FALSE)</f>
        <v>453922</v>
      </c>
      <c r="C227" s="6">
        <f>VLOOKUP(A227,Actual_Revenue!A:G,4,FALSE)</f>
        <v>453922</v>
      </c>
      <c r="D227" s="6">
        <f t="shared" si="1"/>
        <v>0</v>
      </c>
      <c r="E227" s="7">
        <f t="shared" si="2"/>
        <v>0</v>
      </c>
      <c r="F227" s="6">
        <f>VLOOKUP(A227,Actual_Revenue!A:G,3,false)</f>
        <v>36073</v>
      </c>
      <c r="G227" s="6">
        <f>VLOOKUP(A227,Actual_Revenue!A:G,5,false)</f>
        <v>36073</v>
      </c>
      <c r="H227" s="6">
        <f t="shared" si="3"/>
        <v>0</v>
      </c>
      <c r="I227" s="5" t="str">
        <f t="shared" si="4"/>
        <v>MATCHED</v>
      </c>
      <c r="J227" s="5" t="str">
        <f>VLOOKUP(A227,Actual_Revenue!A:G,7,false)</f>
        <v/>
      </c>
    </row>
    <row r="228">
      <c r="A228" s="1" t="str">
        <f>LMS_Loan_Tape!A228</f>
        <v>LN-10227</v>
      </c>
      <c r="B228" s="6">
        <f>VLOOKUP(A228,Actual_Revenue!A:G,2,FALSE)</f>
        <v>96944</v>
      </c>
      <c r="C228" s="6">
        <f>VLOOKUP(A228,Actual_Revenue!A:G,4,FALSE)</f>
        <v>96944</v>
      </c>
      <c r="D228" s="6">
        <f t="shared" si="1"/>
        <v>0</v>
      </c>
      <c r="E228" s="7">
        <f t="shared" si="2"/>
        <v>0</v>
      </c>
      <c r="F228" s="6">
        <f>VLOOKUP(A228,Actual_Revenue!A:G,3,false)</f>
        <v>12849</v>
      </c>
      <c r="G228" s="6">
        <f>VLOOKUP(A228,Actual_Revenue!A:G,5,false)</f>
        <v>12849</v>
      </c>
      <c r="H228" s="6">
        <f t="shared" si="3"/>
        <v>0</v>
      </c>
      <c r="I228" s="5" t="str">
        <f t="shared" si="4"/>
        <v>MATCHED</v>
      </c>
      <c r="J228" s="5" t="str">
        <f>VLOOKUP(A228,Actual_Revenue!A:G,7,false)</f>
        <v/>
      </c>
    </row>
    <row r="229">
      <c r="A229" s="1" t="str">
        <f>LMS_Loan_Tape!A229</f>
        <v>LN-10228</v>
      </c>
      <c r="B229" s="6">
        <f>VLOOKUP(A229,Actual_Revenue!A:G,2,FALSE)</f>
        <v>47003</v>
      </c>
      <c r="C229" s="6">
        <f>VLOOKUP(A229,Actual_Revenue!A:G,4,FALSE)</f>
        <v>47003</v>
      </c>
      <c r="D229" s="6">
        <f t="shared" si="1"/>
        <v>0</v>
      </c>
      <c r="E229" s="7">
        <f t="shared" si="2"/>
        <v>0</v>
      </c>
      <c r="F229" s="6">
        <f>VLOOKUP(A229,Actual_Revenue!A:G,3,false)</f>
        <v>11245</v>
      </c>
      <c r="G229" s="6">
        <f>VLOOKUP(A229,Actual_Revenue!A:G,5,false)</f>
        <v>11245</v>
      </c>
      <c r="H229" s="6">
        <f t="shared" si="3"/>
        <v>0</v>
      </c>
      <c r="I229" s="5" t="str">
        <f t="shared" si="4"/>
        <v>MATCHED</v>
      </c>
      <c r="J229" s="5" t="str">
        <f>VLOOKUP(A229,Actual_Revenue!A:G,7,false)</f>
        <v/>
      </c>
    </row>
    <row r="230">
      <c r="A230" s="1" t="str">
        <f>LMS_Loan_Tape!A230</f>
        <v>LN-10229</v>
      </c>
      <c r="B230" s="6">
        <f>VLOOKUP(A230,Actual_Revenue!A:G,2,FALSE)</f>
        <v>111104</v>
      </c>
      <c r="C230" s="6">
        <f>VLOOKUP(A230,Actual_Revenue!A:G,4,FALSE)</f>
        <v>66662</v>
      </c>
      <c r="D230" s="6">
        <f t="shared" si="1"/>
        <v>44442</v>
      </c>
      <c r="E230" s="7">
        <f t="shared" si="2"/>
        <v>0.4000036002</v>
      </c>
      <c r="F230" s="6">
        <f>VLOOKUP(A230,Actual_Revenue!A:G,3,false)</f>
        <v>23932</v>
      </c>
      <c r="G230" s="6">
        <f>VLOOKUP(A230,Actual_Revenue!A:G,5,false)</f>
        <v>23932</v>
      </c>
      <c r="H230" s="6">
        <f t="shared" si="3"/>
        <v>0</v>
      </c>
      <c r="I230" s="5" t="str">
        <f t="shared" si="4"/>
        <v>EXCEPTION</v>
      </c>
      <c r="J230" s="5" t="str">
        <f>VLOOKUP(A230,Actual_Revenue!A:G,7,false)</f>
        <v>Partial Payment</v>
      </c>
    </row>
    <row r="231">
      <c r="A231" s="1" t="str">
        <f>LMS_Loan_Tape!A231</f>
        <v>LN-10230</v>
      </c>
      <c r="B231" s="6">
        <f>VLOOKUP(A231,Actual_Revenue!A:G,2,FALSE)</f>
        <v>61370</v>
      </c>
      <c r="C231" s="6">
        <f>VLOOKUP(A231,Actual_Revenue!A:G,4,FALSE)</f>
        <v>61784</v>
      </c>
      <c r="D231" s="6">
        <f t="shared" si="1"/>
        <v>-414</v>
      </c>
      <c r="E231" s="7">
        <f t="shared" si="2"/>
        <v>-0.006745967085</v>
      </c>
      <c r="F231" s="6">
        <f>VLOOKUP(A231,Actual_Revenue!A:G,3,false)</f>
        <v>4701</v>
      </c>
      <c r="G231" s="6">
        <f>VLOOKUP(A231,Actual_Revenue!A:G,5,false)</f>
        <v>4701</v>
      </c>
      <c r="H231" s="6">
        <f t="shared" si="3"/>
        <v>0</v>
      </c>
      <c r="I231" s="5" t="str">
        <f t="shared" si="4"/>
        <v>EXCEPTION</v>
      </c>
      <c r="J231" s="5" t="str">
        <f>VLOOKUP(A231,Actual_Revenue!A:G,7,false)</f>
        <v>System Error</v>
      </c>
    </row>
    <row r="232">
      <c r="A232" s="1" t="str">
        <f>LMS_Loan_Tape!A232</f>
        <v>LN-10231</v>
      </c>
      <c r="B232" s="6">
        <f>VLOOKUP(A232,Actual_Revenue!A:G,2,FALSE)</f>
        <v>69133</v>
      </c>
      <c r="C232" s="6">
        <f>VLOOKUP(A232,Actual_Revenue!A:G,4,FALSE)</f>
        <v>69133</v>
      </c>
      <c r="D232" s="6">
        <f t="shared" si="1"/>
        <v>0</v>
      </c>
      <c r="E232" s="7">
        <f t="shared" si="2"/>
        <v>0</v>
      </c>
      <c r="F232" s="6">
        <f>VLOOKUP(A232,Actual_Revenue!A:G,3,false)</f>
        <v>11394</v>
      </c>
      <c r="G232" s="6">
        <f>VLOOKUP(A232,Actual_Revenue!A:G,5,false)</f>
        <v>11280</v>
      </c>
      <c r="H232" s="6">
        <f t="shared" si="3"/>
        <v>114</v>
      </c>
      <c r="I232" s="5" t="str">
        <f t="shared" si="4"/>
        <v>EXCEPTION</v>
      </c>
      <c r="J232" s="5" t="str">
        <f>VLOOKUP(A232,Actual_Revenue!A:G,7,false)</f>
        <v/>
      </c>
    </row>
    <row r="233">
      <c r="A233" s="1" t="str">
        <f>LMS_Loan_Tape!A233</f>
        <v>LN-10232</v>
      </c>
      <c r="B233" s="6">
        <f>VLOOKUP(A233,Actual_Revenue!A:G,2,FALSE)</f>
        <v>247252</v>
      </c>
      <c r="C233" s="6">
        <f>VLOOKUP(A233,Actual_Revenue!A:G,4,FALSE)</f>
        <v>247252</v>
      </c>
      <c r="D233" s="6">
        <f t="shared" si="1"/>
        <v>0</v>
      </c>
      <c r="E233" s="7">
        <f t="shared" si="2"/>
        <v>0</v>
      </c>
      <c r="F233" s="6">
        <f>VLOOKUP(A233,Actual_Revenue!A:G,3,false)</f>
        <v>31200</v>
      </c>
      <c r="G233" s="6">
        <f>VLOOKUP(A233,Actual_Revenue!A:G,5,false)</f>
        <v>31200</v>
      </c>
      <c r="H233" s="6">
        <f t="shared" si="3"/>
        <v>0</v>
      </c>
      <c r="I233" s="5" t="str">
        <f t="shared" si="4"/>
        <v>MATCHED</v>
      </c>
      <c r="J233" s="5" t="str">
        <f>VLOOKUP(A233,Actual_Revenue!A:G,7,false)</f>
        <v/>
      </c>
    </row>
    <row r="234">
      <c r="A234" s="1" t="str">
        <f>LMS_Loan_Tape!A234</f>
        <v>LN-10233</v>
      </c>
      <c r="B234" s="6">
        <f>VLOOKUP(A234,Actual_Revenue!A:G,2,FALSE)</f>
        <v>59548</v>
      </c>
      <c r="C234" s="6">
        <f>VLOOKUP(A234,Actual_Revenue!A:G,4,FALSE)</f>
        <v>59548</v>
      </c>
      <c r="D234" s="6">
        <f t="shared" si="1"/>
        <v>0</v>
      </c>
      <c r="E234" s="7">
        <f t="shared" si="2"/>
        <v>0</v>
      </c>
      <c r="F234" s="6">
        <f>VLOOKUP(A234,Actual_Revenue!A:G,3,false)</f>
        <v>22358</v>
      </c>
      <c r="G234" s="6">
        <f>VLOOKUP(A234,Actual_Revenue!A:G,5,false)</f>
        <v>22134</v>
      </c>
      <c r="H234" s="6">
        <f t="shared" si="3"/>
        <v>224</v>
      </c>
      <c r="I234" s="5" t="str">
        <f t="shared" si="4"/>
        <v>EXCEPTION</v>
      </c>
      <c r="J234" s="5" t="str">
        <f>VLOOKUP(A234,Actual_Revenue!A:G,7,false)</f>
        <v/>
      </c>
    </row>
    <row r="235">
      <c r="A235" s="1" t="str">
        <f>LMS_Loan_Tape!A235</f>
        <v>LN-10234</v>
      </c>
      <c r="B235" s="6">
        <f>VLOOKUP(A235,Actual_Revenue!A:G,2,FALSE)</f>
        <v>121727</v>
      </c>
      <c r="C235" s="6">
        <f>VLOOKUP(A235,Actual_Revenue!A:G,4,FALSE)</f>
        <v>121727</v>
      </c>
      <c r="D235" s="6">
        <f t="shared" si="1"/>
        <v>0</v>
      </c>
      <c r="E235" s="7">
        <f t="shared" si="2"/>
        <v>0</v>
      </c>
      <c r="F235" s="6">
        <f>VLOOKUP(A235,Actual_Revenue!A:G,3,false)</f>
        <v>22240</v>
      </c>
      <c r="G235" s="6">
        <f>VLOOKUP(A235,Actual_Revenue!A:G,5,false)</f>
        <v>22240</v>
      </c>
      <c r="H235" s="6">
        <f t="shared" si="3"/>
        <v>0</v>
      </c>
      <c r="I235" s="5" t="str">
        <f t="shared" si="4"/>
        <v>MATCHED</v>
      </c>
      <c r="J235" s="5" t="str">
        <f>VLOOKUP(A235,Actual_Revenue!A:G,7,false)</f>
        <v/>
      </c>
    </row>
    <row r="236">
      <c r="A236" s="1" t="str">
        <f>LMS_Loan_Tape!A236</f>
        <v>LN-10235</v>
      </c>
      <c r="B236" s="6">
        <f>VLOOKUP(A236,Actual_Revenue!A:G,2,FALSE)</f>
        <v>75222</v>
      </c>
      <c r="C236" s="6">
        <f>VLOOKUP(A236,Actual_Revenue!A:G,4,FALSE)</f>
        <v>75222</v>
      </c>
      <c r="D236" s="6">
        <f t="shared" si="1"/>
        <v>0</v>
      </c>
      <c r="E236" s="7">
        <f t="shared" si="2"/>
        <v>0</v>
      </c>
      <c r="F236" s="6">
        <f>VLOOKUP(A236,Actual_Revenue!A:G,3,false)</f>
        <v>37756</v>
      </c>
      <c r="G236" s="6">
        <f>VLOOKUP(A236,Actual_Revenue!A:G,5,false)</f>
        <v>37756</v>
      </c>
      <c r="H236" s="6">
        <f t="shared" si="3"/>
        <v>0</v>
      </c>
      <c r="I236" s="5" t="str">
        <f t="shared" si="4"/>
        <v>MATCHED</v>
      </c>
      <c r="J236" s="5" t="str">
        <f>VLOOKUP(A236,Actual_Revenue!A:G,7,false)</f>
        <v/>
      </c>
    </row>
    <row r="237">
      <c r="A237" s="1" t="str">
        <f>LMS_Loan_Tape!A237</f>
        <v>LN-10236</v>
      </c>
      <c r="B237" s="6">
        <f>VLOOKUP(A237,Actual_Revenue!A:G,2,FALSE)</f>
        <v>186197</v>
      </c>
      <c r="C237" s="6">
        <f>VLOOKUP(A237,Actual_Revenue!A:G,4,FALSE)</f>
        <v>186197</v>
      </c>
      <c r="D237" s="6">
        <f t="shared" si="1"/>
        <v>0</v>
      </c>
      <c r="E237" s="7">
        <f t="shared" si="2"/>
        <v>0</v>
      </c>
      <c r="F237" s="6">
        <f>VLOOKUP(A237,Actual_Revenue!A:G,3,false)</f>
        <v>36692</v>
      </c>
      <c r="G237" s="6">
        <f>VLOOKUP(A237,Actual_Revenue!A:G,5,false)</f>
        <v>36692</v>
      </c>
      <c r="H237" s="6">
        <f t="shared" si="3"/>
        <v>0</v>
      </c>
      <c r="I237" s="5" t="str">
        <f t="shared" si="4"/>
        <v>MATCHED</v>
      </c>
      <c r="J237" s="5" t="str">
        <f>VLOOKUP(A237,Actual_Revenue!A:G,7,false)</f>
        <v/>
      </c>
    </row>
    <row r="238">
      <c r="A238" s="1" t="str">
        <f>LMS_Loan_Tape!A238</f>
        <v>LN-10237</v>
      </c>
      <c r="B238" s="6">
        <f>VLOOKUP(A238,Actual_Revenue!A:G,2,FALSE)</f>
        <v>19795</v>
      </c>
      <c r="C238" s="6">
        <f>VLOOKUP(A238,Actual_Revenue!A:G,4,FALSE)</f>
        <v>19795</v>
      </c>
      <c r="D238" s="6">
        <f t="shared" si="1"/>
        <v>0</v>
      </c>
      <c r="E238" s="7">
        <f t="shared" si="2"/>
        <v>0</v>
      </c>
      <c r="F238" s="6">
        <f>VLOOKUP(A238,Actual_Revenue!A:G,3,false)</f>
        <v>6791</v>
      </c>
      <c r="G238" s="6">
        <f>VLOOKUP(A238,Actual_Revenue!A:G,5,false)</f>
        <v>6791</v>
      </c>
      <c r="H238" s="6">
        <f t="shared" si="3"/>
        <v>0</v>
      </c>
      <c r="I238" s="5" t="str">
        <f t="shared" si="4"/>
        <v>MATCHED</v>
      </c>
      <c r="J238" s="5" t="str">
        <f>VLOOKUP(A238,Actual_Revenue!A:G,7,false)</f>
        <v/>
      </c>
    </row>
    <row r="239">
      <c r="A239" s="1" t="str">
        <f>LMS_Loan_Tape!A239</f>
        <v>LN-10238</v>
      </c>
      <c r="B239" s="6">
        <f>VLOOKUP(A239,Actual_Revenue!A:G,2,FALSE)</f>
        <v>245495</v>
      </c>
      <c r="C239" s="6">
        <f>VLOOKUP(A239,Actual_Revenue!A:G,4,FALSE)</f>
        <v>245495</v>
      </c>
      <c r="D239" s="6">
        <f t="shared" si="1"/>
        <v>0</v>
      </c>
      <c r="E239" s="7">
        <f t="shared" si="2"/>
        <v>0</v>
      </c>
      <c r="F239" s="6">
        <f>VLOOKUP(A239,Actual_Revenue!A:G,3,false)</f>
        <v>28043</v>
      </c>
      <c r="G239" s="6">
        <f>VLOOKUP(A239,Actual_Revenue!A:G,5,false)</f>
        <v>28043</v>
      </c>
      <c r="H239" s="6">
        <f t="shared" si="3"/>
        <v>0</v>
      </c>
      <c r="I239" s="5" t="str">
        <f t="shared" si="4"/>
        <v>MATCHED</v>
      </c>
      <c r="J239" s="5" t="str">
        <f>VLOOKUP(A239,Actual_Revenue!A:G,7,false)</f>
        <v/>
      </c>
    </row>
    <row r="240">
      <c r="A240" s="1" t="str">
        <f>LMS_Loan_Tape!A240</f>
        <v>LN-10239</v>
      </c>
      <c r="B240" s="6">
        <f>VLOOKUP(A240,Actual_Revenue!A:G,2,FALSE)</f>
        <v>32708</v>
      </c>
      <c r="C240" s="6">
        <f>VLOOKUP(A240,Actual_Revenue!A:G,4,FALSE)</f>
        <v>32708</v>
      </c>
      <c r="D240" s="6">
        <f t="shared" si="1"/>
        <v>0</v>
      </c>
      <c r="E240" s="7">
        <f t="shared" si="2"/>
        <v>0</v>
      </c>
      <c r="F240" s="6">
        <f>VLOOKUP(A240,Actual_Revenue!A:G,3,false)</f>
        <v>22786</v>
      </c>
      <c r="G240" s="6">
        <f>VLOOKUP(A240,Actual_Revenue!A:G,5,false)</f>
        <v>22786</v>
      </c>
      <c r="H240" s="6">
        <f t="shared" si="3"/>
        <v>0</v>
      </c>
      <c r="I240" s="5" t="str">
        <f t="shared" si="4"/>
        <v>MATCHED</v>
      </c>
      <c r="J240" s="5" t="str">
        <f>VLOOKUP(A240,Actual_Revenue!A:G,7,false)</f>
        <v/>
      </c>
    </row>
    <row r="241">
      <c r="A241" s="1" t="str">
        <f>LMS_Loan_Tape!A241</f>
        <v>LN-10240</v>
      </c>
      <c r="B241" s="6">
        <f>VLOOKUP(A241,Actual_Revenue!A:G,2,FALSE)</f>
        <v>32332</v>
      </c>
      <c r="C241" s="6">
        <f>VLOOKUP(A241,Actual_Revenue!A:G,4,FALSE)</f>
        <v>31685</v>
      </c>
      <c r="D241" s="6">
        <f t="shared" si="1"/>
        <v>647</v>
      </c>
      <c r="E241" s="7">
        <f t="shared" si="2"/>
        <v>0.02001113448</v>
      </c>
      <c r="F241" s="6">
        <f>VLOOKUP(A241,Actual_Revenue!A:G,3,false)</f>
        <v>3140</v>
      </c>
      <c r="G241" s="6">
        <f>VLOOKUP(A241,Actual_Revenue!A:G,5,false)</f>
        <v>3140</v>
      </c>
      <c r="H241" s="6">
        <f t="shared" si="3"/>
        <v>0</v>
      </c>
      <c r="I241" s="5" t="str">
        <f t="shared" si="4"/>
        <v>EXCEPTION</v>
      </c>
      <c r="J241" s="5" t="str">
        <f>VLOOKUP(A241,Actual_Revenue!A:G,7,false)</f>
        <v/>
      </c>
    </row>
    <row r="242">
      <c r="A242" s="1" t="str">
        <f>LMS_Loan_Tape!A242</f>
        <v>LN-10241</v>
      </c>
      <c r="B242" s="6">
        <f>VLOOKUP(A242,Actual_Revenue!A:G,2,FALSE)</f>
        <v>307415</v>
      </c>
      <c r="C242" s="6">
        <f>VLOOKUP(A242,Actual_Revenue!A:G,4,FALSE)</f>
        <v>184449</v>
      </c>
      <c r="D242" s="6">
        <f t="shared" si="1"/>
        <v>122966</v>
      </c>
      <c r="E242" s="7">
        <f t="shared" si="2"/>
        <v>0.4</v>
      </c>
      <c r="F242" s="6">
        <f>VLOOKUP(A242,Actual_Revenue!A:G,3,false)</f>
        <v>26739</v>
      </c>
      <c r="G242" s="6">
        <f>VLOOKUP(A242,Actual_Revenue!A:G,5,false)</f>
        <v>26739</v>
      </c>
      <c r="H242" s="6">
        <f t="shared" si="3"/>
        <v>0</v>
      </c>
      <c r="I242" s="5" t="str">
        <f t="shared" si="4"/>
        <v>EXCEPTION</v>
      </c>
      <c r="J242" s="5" t="str">
        <f>VLOOKUP(A242,Actual_Revenue!A:G,7,false)</f>
        <v>Partial Payment</v>
      </c>
    </row>
    <row r="243">
      <c r="A243" s="1" t="str">
        <f>LMS_Loan_Tape!A243</f>
        <v>LN-10242</v>
      </c>
      <c r="B243" s="6">
        <f>VLOOKUP(A243,Actual_Revenue!A:G,2,FALSE)</f>
        <v>56302</v>
      </c>
      <c r="C243" s="6">
        <f>VLOOKUP(A243,Actual_Revenue!A:G,4,FALSE)</f>
        <v>55175</v>
      </c>
      <c r="D243" s="6">
        <f t="shared" si="1"/>
        <v>1127</v>
      </c>
      <c r="E243" s="7">
        <f t="shared" si="2"/>
        <v>0.0200170509</v>
      </c>
      <c r="F243" s="6">
        <f>VLOOKUP(A243,Actual_Revenue!A:G,3,false)</f>
        <v>5849</v>
      </c>
      <c r="G243" s="6">
        <f>VLOOKUP(A243,Actual_Revenue!A:G,5,false)</f>
        <v>5849</v>
      </c>
      <c r="H243" s="6">
        <f t="shared" si="3"/>
        <v>0</v>
      </c>
      <c r="I243" s="5" t="str">
        <f t="shared" si="4"/>
        <v>EXCEPTION</v>
      </c>
      <c r="J243" s="5" t="str">
        <f>VLOOKUP(A243,Actual_Revenue!A:G,7,false)</f>
        <v/>
      </c>
    </row>
    <row r="244">
      <c r="A244" s="1" t="str">
        <f>LMS_Loan_Tape!A244</f>
        <v>LN-10243</v>
      </c>
      <c r="B244" s="6">
        <f>VLOOKUP(A244,Actual_Revenue!A:G,2,FALSE)</f>
        <v>129173</v>
      </c>
      <c r="C244" s="6">
        <f>VLOOKUP(A244,Actual_Revenue!A:G,4,FALSE)</f>
        <v>129173</v>
      </c>
      <c r="D244" s="6">
        <f t="shared" si="1"/>
        <v>0</v>
      </c>
      <c r="E244" s="7">
        <f t="shared" si="2"/>
        <v>0</v>
      </c>
      <c r="F244" s="6">
        <f>VLOOKUP(A244,Actual_Revenue!A:G,3,false)</f>
        <v>26470</v>
      </c>
      <c r="G244" s="6">
        <f>VLOOKUP(A244,Actual_Revenue!A:G,5,false)</f>
        <v>26470</v>
      </c>
      <c r="H244" s="6">
        <f t="shared" si="3"/>
        <v>0</v>
      </c>
      <c r="I244" s="5" t="str">
        <f t="shared" si="4"/>
        <v>MATCHED</v>
      </c>
      <c r="J244" s="5" t="str">
        <f>VLOOKUP(A244,Actual_Revenue!A:G,7,false)</f>
        <v/>
      </c>
    </row>
    <row r="245">
      <c r="A245" s="1" t="str">
        <f>LMS_Loan_Tape!A245</f>
        <v>LN-10244</v>
      </c>
      <c r="B245" s="6">
        <f>VLOOKUP(A245,Actual_Revenue!A:G,2,FALSE)</f>
        <v>119878</v>
      </c>
      <c r="C245" s="6">
        <f>VLOOKUP(A245,Actual_Revenue!A:G,4,FALSE)</f>
        <v>119878</v>
      </c>
      <c r="D245" s="6">
        <f t="shared" si="1"/>
        <v>0</v>
      </c>
      <c r="E245" s="7">
        <f t="shared" si="2"/>
        <v>0</v>
      </c>
      <c r="F245" s="6">
        <f>VLOOKUP(A245,Actual_Revenue!A:G,3,false)</f>
        <v>19801</v>
      </c>
      <c r="G245" s="6">
        <f>VLOOKUP(A245,Actual_Revenue!A:G,5,false)</f>
        <v>19801</v>
      </c>
      <c r="H245" s="6">
        <f t="shared" si="3"/>
        <v>0</v>
      </c>
      <c r="I245" s="5" t="str">
        <f t="shared" si="4"/>
        <v>MATCHED</v>
      </c>
      <c r="J245" s="5" t="str">
        <f>VLOOKUP(A245,Actual_Revenue!A:G,7,false)</f>
        <v/>
      </c>
    </row>
    <row r="246">
      <c r="A246" s="1" t="str">
        <f>LMS_Loan_Tape!A246</f>
        <v>LN-10245</v>
      </c>
      <c r="B246" s="6">
        <f>VLOOKUP(A246,Actual_Revenue!A:G,2,FALSE)</f>
        <v>28873</v>
      </c>
      <c r="C246" s="6">
        <f>VLOOKUP(A246,Actual_Revenue!A:G,4,FALSE)</f>
        <v>28295</v>
      </c>
      <c r="D246" s="6">
        <f t="shared" si="1"/>
        <v>578</v>
      </c>
      <c r="E246" s="7">
        <f t="shared" si="2"/>
        <v>0.02001870259</v>
      </c>
      <c r="F246" s="6">
        <f>VLOOKUP(A246,Actual_Revenue!A:G,3,false)</f>
        <v>4885</v>
      </c>
      <c r="G246" s="6">
        <f>VLOOKUP(A246,Actual_Revenue!A:G,5,false)</f>
        <v>4885</v>
      </c>
      <c r="H246" s="6">
        <f t="shared" si="3"/>
        <v>0</v>
      </c>
      <c r="I246" s="5" t="str">
        <f t="shared" si="4"/>
        <v>EXCEPTION</v>
      </c>
      <c r="J246" s="5" t="str">
        <f>VLOOKUP(A246,Actual_Revenue!A:G,7,false)</f>
        <v/>
      </c>
    </row>
    <row r="247">
      <c r="A247" s="1" t="str">
        <f>LMS_Loan_Tape!A247</f>
        <v>LN-10246</v>
      </c>
      <c r="B247" s="6">
        <f>VLOOKUP(A247,Actual_Revenue!A:G,2,FALSE)</f>
        <v>138306</v>
      </c>
      <c r="C247" s="6">
        <f>VLOOKUP(A247,Actual_Revenue!A:G,4,FALSE)</f>
        <v>138306</v>
      </c>
      <c r="D247" s="6">
        <f t="shared" si="1"/>
        <v>0</v>
      </c>
      <c r="E247" s="7">
        <f t="shared" si="2"/>
        <v>0</v>
      </c>
      <c r="F247" s="6">
        <f>VLOOKUP(A247,Actual_Revenue!A:G,3,false)</f>
        <v>15774</v>
      </c>
      <c r="G247" s="6">
        <f>VLOOKUP(A247,Actual_Revenue!A:G,5,false)</f>
        <v>15774</v>
      </c>
      <c r="H247" s="6">
        <f t="shared" si="3"/>
        <v>0</v>
      </c>
      <c r="I247" s="5" t="str">
        <f t="shared" si="4"/>
        <v>MATCHED</v>
      </c>
      <c r="J247" s="5" t="str">
        <f>VLOOKUP(A247,Actual_Revenue!A:G,7,false)</f>
        <v/>
      </c>
    </row>
    <row r="248">
      <c r="A248" s="1" t="str">
        <f>LMS_Loan_Tape!A248</f>
        <v>LN-10247</v>
      </c>
      <c r="B248" s="6">
        <f>VLOOKUP(A248,Actual_Revenue!A:G,2,FALSE)</f>
        <v>102641</v>
      </c>
      <c r="C248" s="6">
        <f>VLOOKUP(A248,Actual_Revenue!A:G,4,FALSE)</f>
        <v>102641</v>
      </c>
      <c r="D248" s="6">
        <f t="shared" si="1"/>
        <v>0</v>
      </c>
      <c r="E248" s="7">
        <f t="shared" si="2"/>
        <v>0</v>
      </c>
      <c r="F248" s="6">
        <f>VLOOKUP(A248,Actual_Revenue!A:G,3,false)</f>
        <v>18927</v>
      </c>
      <c r="G248" s="6">
        <f>VLOOKUP(A248,Actual_Revenue!A:G,5,false)</f>
        <v>18927</v>
      </c>
      <c r="H248" s="6">
        <f t="shared" si="3"/>
        <v>0</v>
      </c>
      <c r="I248" s="5" t="str">
        <f t="shared" si="4"/>
        <v>MATCHED</v>
      </c>
      <c r="J248" s="5" t="str">
        <f>VLOOKUP(A248,Actual_Revenue!A:G,7,false)</f>
        <v/>
      </c>
    </row>
    <row r="249">
      <c r="A249" s="1" t="str">
        <f>LMS_Loan_Tape!A249</f>
        <v>LN-10248</v>
      </c>
      <c r="B249" s="6">
        <f>VLOOKUP(A249,Actual_Revenue!A:G,2,FALSE)</f>
        <v>190449</v>
      </c>
      <c r="C249" s="6">
        <f>VLOOKUP(A249,Actual_Revenue!A:G,4,FALSE)</f>
        <v>190449</v>
      </c>
      <c r="D249" s="6">
        <f t="shared" si="1"/>
        <v>0</v>
      </c>
      <c r="E249" s="7">
        <f t="shared" si="2"/>
        <v>0</v>
      </c>
      <c r="F249" s="6">
        <f>VLOOKUP(A249,Actual_Revenue!A:G,3,false)</f>
        <v>22284</v>
      </c>
      <c r="G249" s="6">
        <f>VLOOKUP(A249,Actual_Revenue!A:G,5,false)</f>
        <v>22284</v>
      </c>
      <c r="H249" s="6">
        <f t="shared" si="3"/>
        <v>0</v>
      </c>
      <c r="I249" s="5" t="str">
        <f t="shared" si="4"/>
        <v>MATCHED</v>
      </c>
      <c r="J249" s="5" t="str">
        <f>VLOOKUP(A249,Actual_Revenue!A:G,7,false)</f>
        <v/>
      </c>
    </row>
    <row r="250">
      <c r="A250" s="1" t="str">
        <f>LMS_Loan_Tape!A250</f>
        <v>LN-10249</v>
      </c>
      <c r="B250" s="6">
        <f>VLOOKUP(A250,Actual_Revenue!A:G,2,FALSE)</f>
        <v>138528</v>
      </c>
      <c r="C250" s="6">
        <f>VLOOKUP(A250,Actual_Revenue!A:G,4,FALSE)</f>
        <v>138973</v>
      </c>
      <c r="D250" s="6">
        <f t="shared" si="1"/>
        <v>-445</v>
      </c>
      <c r="E250" s="7">
        <f t="shared" si="2"/>
        <v>-0.003212346962</v>
      </c>
      <c r="F250" s="6">
        <f>VLOOKUP(A250,Actual_Revenue!A:G,3,false)</f>
        <v>29320</v>
      </c>
      <c r="G250" s="6">
        <f>VLOOKUP(A250,Actual_Revenue!A:G,5,false)</f>
        <v>29320</v>
      </c>
      <c r="H250" s="6">
        <f t="shared" si="3"/>
        <v>0</v>
      </c>
      <c r="I250" s="5" t="str">
        <f t="shared" si="4"/>
        <v>EXCEPTION</v>
      </c>
      <c r="J250" s="5" t="str">
        <f>VLOOKUP(A250,Actual_Revenue!A:G,7,false)</f>
        <v>System Error</v>
      </c>
    </row>
    <row r="251">
      <c r="A251" s="1" t="str">
        <f>LMS_Loan_Tape!A251</f>
        <v>LN-10250</v>
      </c>
      <c r="B251" s="6">
        <f>VLOOKUP(A251,Actual_Revenue!A:G,2,FALSE)</f>
        <v>312120</v>
      </c>
      <c r="C251" s="6">
        <f>VLOOKUP(A251,Actual_Revenue!A:G,4,FALSE)</f>
        <v>312120</v>
      </c>
      <c r="D251" s="6">
        <f t="shared" si="1"/>
        <v>0</v>
      </c>
      <c r="E251" s="7">
        <f t="shared" si="2"/>
        <v>0</v>
      </c>
      <c r="F251" s="6">
        <f>VLOOKUP(A251,Actual_Revenue!A:G,3,false)</f>
        <v>26366</v>
      </c>
      <c r="G251" s="6">
        <f>VLOOKUP(A251,Actual_Revenue!A:G,5,false)</f>
        <v>26102</v>
      </c>
      <c r="H251" s="6">
        <f t="shared" si="3"/>
        <v>264</v>
      </c>
      <c r="I251" s="5" t="str">
        <f t="shared" si="4"/>
        <v>EXCEPTION</v>
      </c>
      <c r="J251" s="5" t="str">
        <f>VLOOKUP(A251,Actual_Revenue!A:G,7,false)</f>
        <v/>
      </c>
    </row>
    <row r="252">
      <c r="A252" s="1" t="str">
        <f>LMS_Loan_Tape!A252</f>
        <v>LN-10251</v>
      </c>
      <c r="B252" s="6">
        <f>VLOOKUP(A252,Actual_Revenue!A:G,2,FALSE)</f>
        <v>184666</v>
      </c>
      <c r="C252" s="6">
        <f>VLOOKUP(A252,Actual_Revenue!A:G,4,FALSE)</f>
        <v>184666</v>
      </c>
      <c r="D252" s="6">
        <f t="shared" si="1"/>
        <v>0</v>
      </c>
      <c r="E252" s="7">
        <f t="shared" si="2"/>
        <v>0</v>
      </c>
      <c r="F252" s="6">
        <f>VLOOKUP(A252,Actual_Revenue!A:G,3,false)</f>
        <v>50247</v>
      </c>
      <c r="G252" s="6">
        <f>VLOOKUP(A252,Actual_Revenue!A:G,5,false)</f>
        <v>50247</v>
      </c>
      <c r="H252" s="6">
        <f t="shared" si="3"/>
        <v>0</v>
      </c>
      <c r="I252" s="5" t="str">
        <f t="shared" si="4"/>
        <v>MATCHED</v>
      </c>
      <c r="J252" s="5" t="str">
        <f>VLOOKUP(A252,Actual_Revenue!A:G,7,false)</f>
        <v/>
      </c>
    </row>
    <row r="253">
      <c r="A253" s="1" t="str">
        <f>LMS_Loan_Tape!A253</f>
        <v>LN-10252</v>
      </c>
      <c r="B253" s="6">
        <f>VLOOKUP(A253,Actual_Revenue!A:G,2,FALSE)</f>
        <v>29041</v>
      </c>
      <c r="C253" s="6">
        <f>VLOOKUP(A253,Actual_Revenue!A:G,4,FALSE)</f>
        <v>23232</v>
      </c>
      <c r="D253" s="6">
        <f t="shared" si="1"/>
        <v>5809</v>
      </c>
      <c r="E253" s="7">
        <f t="shared" si="2"/>
        <v>0.2000275473</v>
      </c>
      <c r="F253" s="6">
        <f>VLOOKUP(A253,Actual_Revenue!A:G,3,false)</f>
        <v>6557</v>
      </c>
      <c r="G253" s="6">
        <f>VLOOKUP(A253,Actual_Revenue!A:G,5,false)</f>
        <v>6557</v>
      </c>
      <c r="H253" s="6">
        <f t="shared" si="3"/>
        <v>0</v>
      </c>
      <c r="I253" s="5" t="str">
        <f t="shared" si="4"/>
        <v>EXCEPTION</v>
      </c>
      <c r="J253" s="5" t="str">
        <f>VLOOKUP(A253,Actual_Revenue!A:G,7,false)</f>
        <v>Prepayment</v>
      </c>
    </row>
    <row r="254">
      <c r="A254" s="1" t="str">
        <f>LMS_Loan_Tape!A254</f>
        <v>LN-10253</v>
      </c>
      <c r="B254" s="6">
        <f>VLOOKUP(A254,Actual_Revenue!A:G,2,FALSE)</f>
        <v>215480</v>
      </c>
      <c r="C254" s="6">
        <f>VLOOKUP(A254,Actual_Revenue!A:G,4,FALSE)</f>
        <v>215480</v>
      </c>
      <c r="D254" s="6">
        <f t="shared" si="1"/>
        <v>0</v>
      </c>
      <c r="E254" s="7">
        <f t="shared" si="2"/>
        <v>0</v>
      </c>
      <c r="F254" s="6">
        <f>VLOOKUP(A254,Actual_Revenue!A:G,3,false)</f>
        <v>37413</v>
      </c>
      <c r="G254" s="6">
        <f>VLOOKUP(A254,Actual_Revenue!A:G,5,false)</f>
        <v>37413</v>
      </c>
      <c r="H254" s="6">
        <f t="shared" si="3"/>
        <v>0</v>
      </c>
      <c r="I254" s="5" t="str">
        <f t="shared" si="4"/>
        <v>MATCHED</v>
      </c>
      <c r="J254" s="5" t="str">
        <f>VLOOKUP(A254,Actual_Revenue!A:G,7,false)</f>
        <v/>
      </c>
    </row>
    <row r="255">
      <c r="A255" s="1" t="str">
        <f>LMS_Loan_Tape!A255</f>
        <v>LN-10254</v>
      </c>
      <c r="B255" s="6">
        <f>VLOOKUP(A255,Actual_Revenue!A:G,2,FALSE)</f>
        <v>149578</v>
      </c>
      <c r="C255" s="6">
        <f>VLOOKUP(A255,Actual_Revenue!A:G,4,FALSE)</f>
        <v>149578</v>
      </c>
      <c r="D255" s="6">
        <f t="shared" si="1"/>
        <v>0</v>
      </c>
      <c r="E255" s="7">
        <f t="shared" si="2"/>
        <v>0</v>
      </c>
      <c r="F255" s="6">
        <f>VLOOKUP(A255,Actual_Revenue!A:G,3,false)</f>
        <v>16556</v>
      </c>
      <c r="G255" s="6">
        <f>VLOOKUP(A255,Actual_Revenue!A:G,5,false)</f>
        <v>16390</v>
      </c>
      <c r="H255" s="6">
        <f t="shared" si="3"/>
        <v>166</v>
      </c>
      <c r="I255" s="5" t="str">
        <f t="shared" si="4"/>
        <v>EXCEPTION</v>
      </c>
      <c r="J255" s="5" t="str">
        <f>VLOOKUP(A255,Actual_Revenue!A:G,7,false)</f>
        <v/>
      </c>
    </row>
    <row r="256">
      <c r="A256" s="1" t="str">
        <f>LMS_Loan_Tape!A256</f>
        <v>LN-10255</v>
      </c>
      <c r="B256" s="6">
        <f>VLOOKUP(A256,Actual_Revenue!A:G,2,FALSE)</f>
        <v>133519</v>
      </c>
      <c r="C256" s="6">
        <f>VLOOKUP(A256,Actual_Revenue!A:G,4,FALSE)</f>
        <v>133519</v>
      </c>
      <c r="D256" s="6">
        <f t="shared" si="1"/>
        <v>0</v>
      </c>
      <c r="E256" s="7">
        <f t="shared" si="2"/>
        <v>0</v>
      </c>
      <c r="F256" s="6">
        <f>VLOOKUP(A256,Actual_Revenue!A:G,3,false)</f>
        <v>9358</v>
      </c>
      <c r="G256" s="6">
        <f>VLOOKUP(A256,Actual_Revenue!A:G,5,false)</f>
        <v>9264</v>
      </c>
      <c r="H256" s="6">
        <f t="shared" si="3"/>
        <v>94</v>
      </c>
      <c r="I256" s="5" t="str">
        <f t="shared" si="4"/>
        <v>EXCEPTION</v>
      </c>
      <c r="J256" s="5" t="str">
        <f>VLOOKUP(A256,Actual_Revenue!A:G,7,false)</f>
        <v/>
      </c>
    </row>
    <row r="257">
      <c r="A257" s="1" t="str">
        <f>LMS_Loan_Tape!A257</f>
        <v>LN-10256</v>
      </c>
      <c r="B257" s="6">
        <f>VLOOKUP(A257,Actual_Revenue!A:G,2,FALSE)</f>
        <v>320902</v>
      </c>
      <c r="C257" s="6">
        <f>VLOOKUP(A257,Actual_Revenue!A:G,4,FALSE)</f>
        <v>320902</v>
      </c>
      <c r="D257" s="6">
        <f t="shared" si="1"/>
        <v>0</v>
      </c>
      <c r="E257" s="7">
        <f t="shared" si="2"/>
        <v>0</v>
      </c>
      <c r="F257" s="6">
        <f>VLOOKUP(A257,Actual_Revenue!A:G,3,false)</f>
        <v>39928</v>
      </c>
      <c r="G257" s="6">
        <f>VLOOKUP(A257,Actual_Revenue!A:G,5,false)</f>
        <v>39928</v>
      </c>
      <c r="H257" s="6">
        <f t="shared" si="3"/>
        <v>0</v>
      </c>
      <c r="I257" s="5" t="str">
        <f t="shared" si="4"/>
        <v>MATCHED</v>
      </c>
      <c r="J257" s="5" t="str">
        <f>VLOOKUP(A257,Actual_Revenue!A:G,7,false)</f>
        <v/>
      </c>
    </row>
    <row r="258">
      <c r="A258" s="1" t="str">
        <f>LMS_Loan_Tape!A258</f>
        <v>LN-10257</v>
      </c>
      <c r="B258" s="6">
        <f>VLOOKUP(A258,Actual_Revenue!A:G,2,FALSE)</f>
        <v>98446</v>
      </c>
      <c r="C258" s="6">
        <f>VLOOKUP(A258,Actual_Revenue!A:G,4,FALSE)</f>
        <v>59067</v>
      </c>
      <c r="D258" s="6">
        <f t="shared" si="1"/>
        <v>39379</v>
      </c>
      <c r="E258" s="7">
        <f t="shared" si="2"/>
        <v>0.4000060947</v>
      </c>
      <c r="F258" s="6">
        <f>VLOOKUP(A258,Actual_Revenue!A:G,3,false)</f>
        <v>9287</v>
      </c>
      <c r="G258" s="6">
        <f>VLOOKUP(A258,Actual_Revenue!A:G,5,false)</f>
        <v>9287</v>
      </c>
      <c r="H258" s="6">
        <f t="shared" si="3"/>
        <v>0</v>
      </c>
      <c r="I258" s="5" t="str">
        <f t="shared" si="4"/>
        <v>EXCEPTION</v>
      </c>
      <c r="J258" s="5" t="str">
        <f>VLOOKUP(A258,Actual_Revenue!A:G,7,false)</f>
        <v>Partial Payment</v>
      </c>
    </row>
    <row r="259">
      <c r="A259" s="1" t="str">
        <f>LMS_Loan_Tape!A259</f>
        <v>LN-10258</v>
      </c>
      <c r="B259" s="6">
        <f>VLOOKUP(A259,Actual_Revenue!A:G,2,FALSE)</f>
        <v>107565</v>
      </c>
      <c r="C259" s="6">
        <f>VLOOKUP(A259,Actual_Revenue!A:G,4,FALSE)</f>
        <v>64539</v>
      </c>
      <c r="D259" s="6">
        <f t="shared" si="1"/>
        <v>43026</v>
      </c>
      <c r="E259" s="7">
        <f t="shared" si="2"/>
        <v>0.4</v>
      </c>
      <c r="F259" s="6">
        <f>VLOOKUP(A259,Actual_Revenue!A:G,3,false)</f>
        <v>24527</v>
      </c>
      <c r="G259" s="6">
        <f>VLOOKUP(A259,Actual_Revenue!A:G,5,false)</f>
        <v>24527</v>
      </c>
      <c r="H259" s="6">
        <f t="shared" si="3"/>
        <v>0</v>
      </c>
      <c r="I259" s="5" t="str">
        <f t="shared" si="4"/>
        <v>EXCEPTION</v>
      </c>
      <c r="J259" s="5" t="str">
        <f>VLOOKUP(A259,Actual_Revenue!A:G,7,false)</f>
        <v>Partial Payment</v>
      </c>
    </row>
    <row r="260">
      <c r="A260" s="1" t="str">
        <f>LMS_Loan_Tape!A260</f>
        <v>LN-10259</v>
      </c>
      <c r="B260" s="6">
        <f>VLOOKUP(A260,Actual_Revenue!A:G,2,FALSE)</f>
        <v>344204</v>
      </c>
      <c r="C260" s="6">
        <f>VLOOKUP(A260,Actual_Revenue!A:G,4,FALSE)</f>
        <v>344204</v>
      </c>
      <c r="D260" s="6">
        <f t="shared" si="1"/>
        <v>0</v>
      </c>
      <c r="E260" s="7">
        <f t="shared" si="2"/>
        <v>0</v>
      </c>
      <c r="F260" s="6">
        <f>VLOOKUP(A260,Actual_Revenue!A:G,3,false)</f>
        <v>55519</v>
      </c>
      <c r="G260" s="6">
        <f>VLOOKUP(A260,Actual_Revenue!A:G,5,false)</f>
        <v>55519</v>
      </c>
      <c r="H260" s="6">
        <f t="shared" si="3"/>
        <v>0</v>
      </c>
      <c r="I260" s="5" t="str">
        <f t="shared" si="4"/>
        <v>MATCHED</v>
      </c>
      <c r="J260" s="5" t="str">
        <f>VLOOKUP(A260,Actual_Revenue!A:G,7,false)</f>
        <v/>
      </c>
    </row>
    <row r="261">
      <c r="A261" s="1" t="str">
        <f>LMS_Loan_Tape!A261</f>
        <v>LN-10260</v>
      </c>
      <c r="B261" s="6">
        <f>VLOOKUP(A261,Actual_Revenue!A:G,2,FALSE)</f>
        <v>277903</v>
      </c>
      <c r="C261" s="6">
        <f>VLOOKUP(A261,Actual_Revenue!A:G,4,FALSE)</f>
        <v>166741</v>
      </c>
      <c r="D261" s="6">
        <f t="shared" si="1"/>
        <v>111162</v>
      </c>
      <c r="E261" s="7">
        <f t="shared" si="2"/>
        <v>0.4000028787</v>
      </c>
      <c r="F261" s="6">
        <f>VLOOKUP(A261,Actual_Revenue!A:G,3,false)</f>
        <v>39573</v>
      </c>
      <c r="G261" s="6">
        <f>VLOOKUP(A261,Actual_Revenue!A:G,5,false)</f>
        <v>39573</v>
      </c>
      <c r="H261" s="6">
        <f t="shared" si="3"/>
        <v>0</v>
      </c>
      <c r="I261" s="5" t="str">
        <f t="shared" si="4"/>
        <v>EXCEPTION</v>
      </c>
      <c r="J261" s="5" t="str">
        <f>VLOOKUP(A261,Actual_Revenue!A:G,7,false)</f>
        <v>Partial Payment</v>
      </c>
    </row>
    <row r="262">
      <c r="A262" s="1" t="str">
        <f>LMS_Loan_Tape!A262</f>
        <v>LN-10261</v>
      </c>
      <c r="B262" s="6">
        <f>VLOOKUP(A262,Actual_Revenue!A:G,2,FALSE)</f>
        <v>323695</v>
      </c>
      <c r="C262" s="6">
        <f>VLOOKUP(A262,Actual_Revenue!A:G,4,FALSE)</f>
        <v>323695</v>
      </c>
      <c r="D262" s="6">
        <f t="shared" si="1"/>
        <v>0</v>
      </c>
      <c r="E262" s="7">
        <f t="shared" si="2"/>
        <v>0</v>
      </c>
      <c r="F262" s="6">
        <f>VLOOKUP(A262,Actual_Revenue!A:G,3,false)</f>
        <v>33776</v>
      </c>
      <c r="G262" s="6">
        <f>VLOOKUP(A262,Actual_Revenue!A:G,5,false)</f>
        <v>33776</v>
      </c>
      <c r="H262" s="6">
        <f t="shared" si="3"/>
        <v>0</v>
      </c>
      <c r="I262" s="5" t="str">
        <f t="shared" si="4"/>
        <v>MATCHED</v>
      </c>
      <c r="J262" s="5" t="str">
        <f>VLOOKUP(A262,Actual_Revenue!A:G,7,false)</f>
        <v/>
      </c>
    </row>
    <row r="263">
      <c r="A263" s="1" t="str">
        <f>LMS_Loan_Tape!A263</f>
        <v>LN-10262</v>
      </c>
      <c r="B263" s="6">
        <f>VLOOKUP(A263,Actual_Revenue!A:G,2,FALSE)</f>
        <v>40346</v>
      </c>
      <c r="C263" s="6">
        <f>VLOOKUP(A263,Actual_Revenue!A:G,4,FALSE)</f>
        <v>40346</v>
      </c>
      <c r="D263" s="6">
        <f t="shared" si="1"/>
        <v>0</v>
      </c>
      <c r="E263" s="7">
        <f t="shared" si="2"/>
        <v>0</v>
      </c>
      <c r="F263" s="6">
        <f>VLOOKUP(A263,Actual_Revenue!A:G,3,false)</f>
        <v>32099</v>
      </c>
      <c r="G263" s="6">
        <f>VLOOKUP(A263,Actual_Revenue!A:G,5,false)</f>
        <v>32099</v>
      </c>
      <c r="H263" s="6">
        <f t="shared" si="3"/>
        <v>0</v>
      </c>
      <c r="I263" s="5" t="str">
        <f t="shared" si="4"/>
        <v>MATCHED</v>
      </c>
      <c r="J263" s="5" t="str">
        <f>VLOOKUP(A263,Actual_Revenue!A:G,7,false)</f>
        <v/>
      </c>
    </row>
    <row r="264">
      <c r="A264" s="1" t="str">
        <f>LMS_Loan_Tape!A264</f>
        <v>LN-10263</v>
      </c>
      <c r="B264" s="6">
        <f>VLOOKUP(A264,Actual_Revenue!A:G,2,FALSE)</f>
        <v>320402</v>
      </c>
      <c r="C264" s="6">
        <f>VLOOKUP(A264,Actual_Revenue!A:G,4,FALSE)</f>
        <v>320402</v>
      </c>
      <c r="D264" s="6">
        <f t="shared" si="1"/>
        <v>0</v>
      </c>
      <c r="E264" s="7">
        <f t="shared" si="2"/>
        <v>0</v>
      </c>
      <c r="F264" s="6">
        <f>VLOOKUP(A264,Actual_Revenue!A:G,3,false)</f>
        <v>21763</v>
      </c>
      <c r="G264" s="6">
        <f>VLOOKUP(A264,Actual_Revenue!A:G,5,false)</f>
        <v>21763</v>
      </c>
      <c r="H264" s="6">
        <f t="shared" si="3"/>
        <v>0</v>
      </c>
      <c r="I264" s="5" t="str">
        <f t="shared" si="4"/>
        <v>MATCHED</v>
      </c>
      <c r="J264" s="5" t="str">
        <f>VLOOKUP(A264,Actual_Revenue!A:G,7,false)</f>
        <v/>
      </c>
    </row>
    <row r="265">
      <c r="A265" s="1" t="str">
        <f>LMS_Loan_Tape!A265</f>
        <v>LN-10264</v>
      </c>
      <c r="B265" s="6">
        <f>VLOOKUP(A265,Actual_Revenue!A:G,2,FALSE)</f>
        <v>59348</v>
      </c>
      <c r="C265" s="6">
        <f>VLOOKUP(A265,Actual_Revenue!A:G,4,FALSE)</f>
        <v>53413</v>
      </c>
      <c r="D265" s="6">
        <f t="shared" si="1"/>
        <v>5935</v>
      </c>
      <c r="E265" s="7">
        <f t="shared" si="2"/>
        <v>0.10000337</v>
      </c>
      <c r="F265" s="6">
        <f>VLOOKUP(A265,Actual_Revenue!A:G,3,false)</f>
        <v>23143</v>
      </c>
      <c r="G265" s="6">
        <f>VLOOKUP(A265,Actual_Revenue!A:G,5,false)</f>
        <v>11571</v>
      </c>
      <c r="H265" s="6">
        <f t="shared" si="3"/>
        <v>11572</v>
      </c>
      <c r="I265" s="5" t="str">
        <f t="shared" si="4"/>
        <v>EXCEPTION</v>
      </c>
      <c r="J265" s="5" t="str">
        <f>VLOOKUP(A265,Actual_Revenue!A:G,7,false)</f>
        <v>Waiver Applied</v>
      </c>
    </row>
    <row r="266">
      <c r="A266" s="1" t="str">
        <f>LMS_Loan_Tape!A266</f>
        <v>LN-10265</v>
      </c>
      <c r="B266" s="6">
        <f>VLOOKUP(A266,Actual_Revenue!A:G,2,FALSE)</f>
        <v>262408</v>
      </c>
      <c r="C266" s="6">
        <f>VLOOKUP(A266,Actual_Revenue!A:G,4,FALSE)</f>
        <v>257159</v>
      </c>
      <c r="D266" s="6">
        <f t="shared" si="1"/>
        <v>5249</v>
      </c>
      <c r="E266" s="7">
        <f t="shared" si="2"/>
        <v>0.02000320112</v>
      </c>
      <c r="F266" s="6">
        <f>VLOOKUP(A266,Actual_Revenue!A:G,3,false)</f>
        <v>48464</v>
      </c>
      <c r="G266" s="6">
        <f>VLOOKUP(A266,Actual_Revenue!A:G,5,false)</f>
        <v>48464</v>
      </c>
      <c r="H266" s="6">
        <f t="shared" si="3"/>
        <v>0</v>
      </c>
      <c r="I266" s="5" t="str">
        <f t="shared" si="4"/>
        <v>EXCEPTION</v>
      </c>
      <c r="J266" s="5" t="str">
        <f>VLOOKUP(A266,Actual_Revenue!A:G,7,false)</f>
        <v/>
      </c>
    </row>
    <row r="267">
      <c r="A267" s="1" t="str">
        <f>LMS_Loan_Tape!A267</f>
        <v>LN-10266</v>
      </c>
      <c r="B267" s="6">
        <f>VLOOKUP(A267,Actual_Revenue!A:G,2,FALSE)</f>
        <v>131863</v>
      </c>
      <c r="C267" s="6">
        <f>VLOOKUP(A267,Actual_Revenue!A:G,4,FALSE)</f>
        <v>131863</v>
      </c>
      <c r="D267" s="6">
        <f t="shared" si="1"/>
        <v>0</v>
      </c>
      <c r="E267" s="7">
        <f t="shared" si="2"/>
        <v>0</v>
      </c>
      <c r="F267" s="6">
        <f>VLOOKUP(A267,Actual_Revenue!A:G,3,false)</f>
        <v>37638</v>
      </c>
      <c r="G267" s="6">
        <f>VLOOKUP(A267,Actual_Revenue!A:G,5,false)</f>
        <v>37638</v>
      </c>
      <c r="H267" s="6">
        <f t="shared" si="3"/>
        <v>0</v>
      </c>
      <c r="I267" s="5" t="str">
        <f t="shared" si="4"/>
        <v>MATCHED</v>
      </c>
      <c r="J267" s="5" t="str">
        <f>VLOOKUP(A267,Actual_Revenue!A:G,7,false)</f>
        <v/>
      </c>
    </row>
    <row r="268">
      <c r="A268" s="1" t="str">
        <f>LMS_Loan_Tape!A268</f>
        <v>LN-10267</v>
      </c>
      <c r="B268" s="6">
        <f>VLOOKUP(A268,Actual_Revenue!A:G,2,FALSE)</f>
        <v>522915</v>
      </c>
      <c r="C268" s="6">
        <f>VLOOKUP(A268,Actual_Revenue!A:G,4,FALSE)</f>
        <v>522915</v>
      </c>
      <c r="D268" s="6">
        <f t="shared" si="1"/>
        <v>0</v>
      </c>
      <c r="E268" s="7">
        <f t="shared" si="2"/>
        <v>0</v>
      </c>
      <c r="F268" s="6">
        <f>VLOOKUP(A268,Actual_Revenue!A:G,3,false)</f>
        <v>31612</v>
      </c>
      <c r="G268" s="6">
        <f>VLOOKUP(A268,Actual_Revenue!A:G,5,false)</f>
        <v>31612</v>
      </c>
      <c r="H268" s="6">
        <f t="shared" si="3"/>
        <v>0</v>
      </c>
      <c r="I268" s="5" t="str">
        <f t="shared" si="4"/>
        <v>MATCHED</v>
      </c>
      <c r="J268" s="5" t="str">
        <f>VLOOKUP(A268,Actual_Revenue!A:G,7,false)</f>
        <v/>
      </c>
    </row>
    <row r="269">
      <c r="A269" s="1" t="str">
        <f>LMS_Loan_Tape!A269</f>
        <v>LN-10268</v>
      </c>
      <c r="B269" s="6">
        <f>VLOOKUP(A269,Actual_Revenue!A:G,2,FALSE)</f>
        <v>108212</v>
      </c>
      <c r="C269" s="6">
        <f>VLOOKUP(A269,Actual_Revenue!A:G,4,FALSE)</f>
        <v>108212</v>
      </c>
      <c r="D269" s="6">
        <f t="shared" si="1"/>
        <v>0</v>
      </c>
      <c r="E269" s="7">
        <f t="shared" si="2"/>
        <v>0</v>
      </c>
      <c r="F269" s="6">
        <f>VLOOKUP(A269,Actual_Revenue!A:G,3,false)</f>
        <v>36800</v>
      </c>
      <c r="G269" s="6">
        <f>VLOOKUP(A269,Actual_Revenue!A:G,5,false)</f>
        <v>36800</v>
      </c>
      <c r="H269" s="6">
        <f t="shared" si="3"/>
        <v>0</v>
      </c>
      <c r="I269" s="5" t="str">
        <f t="shared" si="4"/>
        <v>MATCHED</v>
      </c>
      <c r="J269" s="5" t="str">
        <f>VLOOKUP(A269,Actual_Revenue!A:G,7,false)</f>
        <v/>
      </c>
    </row>
    <row r="270">
      <c r="A270" s="1" t="str">
        <f>LMS_Loan_Tape!A270</f>
        <v>LN-10269</v>
      </c>
      <c r="B270" s="6">
        <f>VLOOKUP(A270,Actual_Revenue!A:G,2,FALSE)</f>
        <v>33639</v>
      </c>
      <c r="C270" s="6">
        <f>VLOOKUP(A270,Actual_Revenue!A:G,4,FALSE)</f>
        <v>33639</v>
      </c>
      <c r="D270" s="6">
        <f t="shared" si="1"/>
        <v>0</v>
      </c>
      <c r="E270" s="7">
        <f t="shared" si="2"/>
        <v>0</v>
      </c>
      <c r="F270" s="6">
        <f>VLOOKUP(A270,Actual_Revenue!A:G,3,false)</f>
        <v>22721</v>
      </c>
      <c r="G270" s="6">
        <f>VLOOKUP(A270,Actual_Revenue!A:G,5,false)</f>
        <v>22721</v>
      </c>
      <c r="H270" s="6">
        <f t="shared" si="3"/>
        <v>0</v>
      </c>
      <c r="I270" s="5" t="str">
        <f t="shared" si="4"/>
        <v>MATCHED</v>
      </c>
      <c r="J270" s="5" t="str">
        <f>VLOOKUP(A270,Actual_Revenue!A:G,7,false)</f>
        <v/>
      </c>
    </row>
    <row r="271">
      <c r="A271" s="1" t="str">
        <f>LMS_Loan_Tape!A271</f>
        <v>LN-10270</v>
      </c>
      <c r="B271" s="6">
        <f>VLOOKUP(A271,Actual_Revenue!A:G,2,FALSE)</f>
        <v>68502</v>
      </c>
      <c r="C271" s="6">
        <f>VLOOKUP(A271,Actual_Revenue!A:G,4,FALSE)</f>
        <v>68502</v>
      </c>
      <c r="D271" s="6">
        <f t="shared" si="1"/>
        <v>0</v>
      </c>
      <c r="E271" s="7">
        <f t="shared" si="2"/>
        <v>0</v>
      </c>
      <c r="F271" s="6">
        <f>VLOOKUP(A271,Actual_Revenue!A:G,3,false)</f>
        <v>6041</v>
      </c>
      <c r="G271" s="6">
        <f>VLOOKUP(A271,Actual_Revenue!A:G,5,false)</f>
        <v>6041</v>
      </c>
      <c r="H271" s="6">
        <f t="shared" si="3"/>
        <v>0</v>
      </c>
      <c r="I271" s="5" t="str">
        <f t="shared" si="4"/>
        <v>MATCHED</v>
      </c>
      <c r="J271" s="5" t="str">
        <f>VLOOKUP(A271,Actual_Revenue!A:G,7,false)</f>
        <v/>
      </c>
    </row>
    <row r="272">
      <c r="A272" s="1" t="str">
        <f>LMS_Loan_Tape!A272</f>
        <v>LN-10271</v>
      </c>
      <c r="B272" s="6">
        <f>VLOOKUP(A272,Actual_Revenue!A:G,2,FALSE)</f>
        <v>228346</v>
      </c>
      <c r="C272" s="6">
        <f>VLOOKUP(A272,Actual_Revenue!A:G,4,FALSE)</f>
        <v>228346</v>
      </c>
      <c r="D272" s="6">
        <f t="shared" si="1"/>
        <v>0</v>
      </c>
      <c r="E272" s="7">
        <f t="shared" si="2"/>
        <v>0</v>
      </c>
      <c r="F272" s="6">
        <f>VLOOKUP(A272,Actual_Revenue!A:G,3,false)</f>
        <v>21813</v>
      </c>
      <c r="G272" s="6">
        <f>VLOOKUP(A272,Actual_Revenue!A:G,5,false)</f>
        <v>21813</v>
      </c>
      <c r="H272" s="6">
        <f t="shared" si="3"/>
        <v>0</v>
      </c>
      <c r="I272" s="5" t="str">
        <f t="shared" si="4"/>
        <v>MATCHED</v>
      </c>
      <c r="J272" s="5" t="str">
        <f>VLOOKUP(A272,Actual_Revenue!A:G,7,false)</f>
        <v/>
      </c>
    </row>
    <row r="273">
      <c r="A273" s="1" t="str">
        <f>LMS_Loan_Tape!A273</f>
        <v>LN-10272</v>
      </c>
      <c r="B273" s="6">
        <f>VLOOKUP(A273,Actual_Revenue!A:G,2,FALSE)</f>
        <v>149144</v>
      </c>
      <c r="C273" s="6">
        <f>VLOOKUP(A273,Actual_Revenue!A:G,4,FALSE)</f>
        <v>89486</v>
      </c>
      <c r="D273" s="6">
        <f t="shared" si="1"/>
        <v>59658</v>
      </c>
      <c r="E273" s="7">
        <f t="shared" si="2"/>
        <v>0.400002682</v>
      </c>
      <c r="F273" s="6">
        <f>VLOOKUP(A273,Actual_Revenue!A:G,3,false)</f>
        <v>22740</v>
      </c>
      <c r="G273" s="6">
        <f>VLOOKUP(A273,Actual_Revenue!A:G,5,false)</f>
        <v>22740</v>
      </c>
      <c r="H273" s="6">
        <f t="shared" si="3"/>
        <v>0</v>
      </c>
      <c r="I273" s="5" t="str">
        <f t="shared" si="4"/>
        <v>EXCEPTION</v>
      </c>
      <c r="J273" s="5" t="str">
        <f>VLOOKUP(A273,Actual_Revenue!A:G,7,false)</f>
        <v>Partial Payment</v>
      </c>
    </row>
    <row r="274">
      <c r="A274" s="1" t="str">
        <f>LMS_Loan_Tape!A274</f>
        <v>LN-10273</v>
      </c>
      <c r="B274" s="6">
        <f>VLOOKUP(A274,Actual_Revenue!A:G,2,FALSE)</f>
        <v>41417</v>
      </c>
      <c r="C274" s="6">
        <f>VLOOKUP(A274,Actual_Revenue!A:G,4,FALSE)</f>
        <v>41417</v>
      </c>
      <c r="D274" s="6">
        <f t="shared" si="1"/>
        <v>0</v>
      </c>
      <c r="E274" s="7">
        <f t="shared" si="2"/>
        <v>0</v>
      </c>
      <c r="F274" s="6">
        <f>VLOOKUP(A274,Actual_Revenue!A:G,3,false)</f>
        <v>27628</v>
      </c>
      <c r="G274" s="6">
        <f>VLOOKUP(A274,Actual_Revenue!A:G,5,false)</f>
        <v>27628</v>
      </c>
      <c r="H274" s="6">
        <f t="shared" si="3"/>
        <v>0</v>
      </c>
      <c r="I274" s="5" t="str">
        <f t="shared" si="4"/>
        <v>MATCHED</v>
      </c>
      <c r="J274" s="5" t="str">
        <f>VLOOKUP(A274,Actual_Revenue!A:G,7,false)</f>
        <v/>
      </c>
    </row>
    <row r="275">
      <c r="A275" s="1" t="str">
        <f>LMS_Loan_Tape!A275</f>
        <v>LN-10274</v>
      </c>
      <c r="B275" s="6">
        <f>VLOOKUP(A275,Actual_Revenue!A:G,2,FALSE)</f>
        <v>47347</v>
      </c>
      <c r="C275" s="6">
        <f>VLOOKUP(A275,Actual_Revenue!A:G,4,FALSE)</f>
        <v>42612</v>
      </c>
      <c r="D275" s="6">
        <f t="shared" si="1"/>
        <v>4735</v>
      </c>
      <c r="E275" s="7">
        <f t="shared" si="2"/>
        <v>0.1000063362</v>
      </c>
      <c r="F275" s="6">
        <f>VLOOKUP(A275,Actual_Revenue!A:G,3,false)</f>
        <v>5946</v>
      </c>
      <c r="G275" s="6">
        <f>VLOOKUP(A275,Actual_Revenue!A:G,5,false)</f>
        <v>2973</v>
      </c>
      <c r="H275" s="6">
        <f t="shared" si="3"/>
        <v>2973</v>
      </c>
      <c r="I275" s="5" t="str">
        <f t="shared" si="4"/>
        <v>EXCEPTION</v>
      </c>
      <c r="J275" s="5" t="str">
        <f>VLOOKUP(A275,Actual_Revenue!A:G,7,false)</f>
        <v>Waiver Applied</v>
      </c>
    </row>
    <row r="276">
      <c r="A276" s="1" t="str">
        <f>LMS_Loan_Tape!A276</f>
        <v>LN-10275</v>
      </c>
      <c r="B276" s="6">
        <f>VLOOKUP(A276,Actual_Revenue!A:G,2,FALSE)</f>
        <v>437201</v>
      </c>
      <c r="C276" s="6">
        <f>VLOOKUP(A276,Actual_Revenue!A:G,4,FALSE)</f>
        <v>437201</v>
      </c>
      <c r="D276" s="6">
        <f t="shared" si="1"/>
        <v>0</v>
      </c>
      <c r="E276" s="7">
        <f t="shared" si="2"/>
        <v>0</v>
      </c>
      <c r="F276" s="6">
        <f>VLOOKUP(A276,Actual_Revenue!A:G,3,false)</f>
        <v>24835</v>
      </c>
      <c r="G276" s="6">
        <f>VLOOKUP(A276,Actual_Revenue!A:G,5,false)</f>
        <v>24835</v>
      </c>
      <c r="H276" s="6">
        <f t="shared" si="3"/>
        <v>0</v>
      </c>
      <c r="I276" s="5" t="str">
        <f t="shared" si="4"/>
        <v>MATCHED</v>
      </c>
      <c r="J276" s="5" t="str">
        <f>VLOOKUP(A276,Actual_Revenue!A:G,7,false)</f>
        <v/>
      </c>
    </row>
    <row r="277">
      <c r="A277" s="1" t="str">
        <f>LMS_Loan_Tape!A277</f>
        <v>LN-10276</v>
      </c>
      <c r="B277" s="6">
        <f>VLOOKUP(A277,Actual_Revenue!A:G,2,FALSE)</f>
        <v>78672</v>
      </c>
      <c r="C277" s="6">
        <f>VLOOKUP(A277,Actual_Revenue!A:G,4,FALSE)</f>
        <v>78672</v>
      </c>
      <c r="D277" s="6">
        <f t="shared" si="1"/>
        <v>0</v>
      </c>
      <c r="E277" s="7">
        <f t="shared" si="2"/>
        <v>0</v>
      </c>
      <c r="F277" s="6">
        <f>VLOOKUP(A277,Actual_Revenue!A:G,3,false)</f>
        <v>21142</v>
      </c>
      <c r="G277" s="6">
        <f>VLOOKUP(A277,Actual_Revenue!A:G,5,false)</f>
        <v>21142</v>
      </c>
      <c r="H277" s="6">
        <f t="shared" si="3"/>
        <v>0</v>
      </c>
      <c r="I277" s="5" t="str">
        <f t="shared" si="4"/>
        <v>MATCHED</v>
      </c>
      <c r="J277" s="5" t="str">
        <f>VLOOKUP(A277,Actual_Revenue!A:G,7,false)</f>
        <v/>
      </c>
    </row>
    <row r="278">
      <c r="A278" s="1" t="str">
        <f>LMS_Loan_Tape!A278</f>
        <v>LN-10277</v>
      </c>
      <c r="B278" s="6">
        <f>VLOOKUP(A278,Actual_Revenue!A:G,2,FALSE)</f>
        <v>50952</v>
      </c>
      <c r="C278" s="6">
        <f>VLOOKUP(A278,Actual_Revenue!A:G,4,FALSE)</f>
        <v>50952</v>
      </c>
      <c r="D278" s="6">
        <f t="shared" si="1"/>
        <v>0</v>
      </c>
      <c r="E278" s="7">
        <f t="shared" si="2"/>
        <v>0</v>
      </c>
      <c r="F278" s="6">
        <f>VLOOKUP(A278,Actual_Revenue!A:G,3,false)</f>
        <v>4595</v>
      </c>
      <c r="G278" s="6">
        <f>VLOOKUP(A278,Actual_Revenue!A:G,5,false)</f>
        <v>4595</v>
      </c>
      <c r="H278" s="6">
        <f t="shared" si="3"/>
        <v>0</v>
      </c>
      <c r="I278" s="5" t="str">
        <f t="shared" si="4"/>
        <v>MATCHED</v>
      </c>
      <c r="J278" s="5" t="str">
        <f>VLOOKUP(A278,Actual_Revenue!A:G,7,false)</f>
        <v/>
      </c>
    </row>
    <row r="279">
      <c r="A279" s="1" t="str">
        <f>LMS_Loan_Tape!A279</f>
        <v>LN-10278</v>
      </c>
      <c r="B279" s="6">
        <f>VLOOKUP(A279,Actual_Revenue!A:G,2,FALSE)</f>
        <v>458051</v>
      </c>
      <c r="C279" s="6">
        <f>VLOOKUP(A279,Actual_Revenue!A:G,4,FALSE)</f>
        <v>458051</v>
      </c>
      <c r="D279" s="6">
        <f t="shared" si="1"/>
        <v>0</v>
      </c>
      <c r="E279" s="7">
        <f t="shared" si="2"/>
        <v>0</v>
      </c>
      <c r="F279" s="6">
        <f>VLOOKUP(A279,Actual_Revenue!A:G,3,false)</f>
        <v>31836</v>
      </c>
      <c r="G279" s="6">
        <f>VLOOKUP(A279,Actual_Revenue!A:G,5,false)</f>
        <v>31836</v>
      </c>
      <c r="H279" s="6">
        <f t="shared" si="3"/>
        <v>0</v>
      </c>
      <c r="I279" s="5" t="str">
        <f t="shared" si="4"/>
        <v>MATCHED</v>
      </c>
      <c r="J279" s="5" t="str">
        <f>VLOOKUP(A279,Actual_Revenue!A:G,7,false)</f>
        <v/>
      </c>
    </row>
    <row r="280">
      <c r="A280" s="1" t="str">
        <f>LMS_Loan_Tape!A280</f>
        <v>LN-10279</v>
      </c>
      <c r="B280" s="6">
        <f>VLOOKUP(A280,Actual_Revenue!A:G,2,FALSE)</f>
        <v>286697</v>
      </c>
      <c r="C280" s="6">
        <f>VLOOKUP(A280,Actual_Revenue!A:G,4,FALSE)</f>
        <v>286697</v>
      </c>
      <c r="D280" s="6">
        <f t="shared" si="1"/>
        <v>0</v>
      </c>
      <c r="E280" s="7">
        <f t="shared" si="2"/>
        <v>0</v>
      </c>
      <c r="F280" s="6">
        <f>VLOOKUP(A280,Actual_Revenue!A:G,3,false)</f>
        <v>17593</v>
      </c>
      <c r="G280" s="6">
        <f>VLOOKUP(A280,Actual_Revenue!A:G,5,false)</f>
        <v>17593</v>
      </c>
      <c r="H280" s="6">
        <f t="shared" si="3"/>
        <v>0</v>
      </c>
      <c r="I280" s="5" t="str">
        <f t="shared" si="4"/>
        <v>MATCHED</v>
      </c>
      <c r="J280" s="5" t="str">
        <f>VLOOKUP(A280,Actual_Revenue!A:G,7,false)</f>
        <v/>
      </c>
    </row>
    <row r="281">
      <c r="A281" s="1" t="str">
        <f>LMS_Loan_Tape!A281</f>
        <v>LN-10280</v>
      </c>
      <c r="B281" s="6">
        <f>VLOOKUP(A281,Actual_Revenue!A:G,2,FALSE)</f>
        <v>292898</v>
      </c>
      <c r="C281" s="6">
        <f>VLOOKUP(A281,Actual_Revenue!A:G,4,FALSE)</f>
        <v>292898</v>
      </c>
      <c r="D281" s="6">
        <f t="shared" si="1"/>
        <v>0</v>
      </c>
      <c r="E281" s="7">
        <f t="shared" si="2"/>
        <v>0</v>
      </c>
      <c r="F281" s="6">
        <f>VLOOKUP(A281,Actual_Revenue!A:G,3,false)</f>
        <v>45236</v>
      </c>
      <c r="G281" s="6">
        <f>VLOOKUP(A281,Actual_Revenue!A:G,5,false)</f>
        <v>45236</v>
      </c>
      <c r="H281" s="6">
        <f t="shared" si="3"/>
        <v>0</v>
      </c>
      <c r="I281" s="5" t="str">
        <f t="shared" si="4"/>
        <v>MATCHED</v>
      </c>
      <c r="J281" s="5" t="str">
        <f>VLOOKUP(A281,Actual_Revenue!A:G,7,false)</f>
        <v/>
      </c>
    </row>
    <row r="282">
      <c r="A282" s="1" t="str">
        <f>LMS_Loan_Tape!A282</f>
        <v>LN-10281</v>
      </c>
      <c r="B282" s="6">
        <f>VLOOKUP(A282,Actual_Revenue!A:G,2,FALSE)</f>
        <v>35631</v>
      </c>
      <c r="C282" s="6">
        <f>VLOOKUP(A282,Actual_Revenue!A:G,4,FALSE)</f>
        <v>35631</v>
      </c>
      <c r="D282" s="6">
        <f t="shared" si="1"/>
        <v>0</v>
      </c>
      <c r="E282" s="7">
        <f t="shared" si="2"/>
        <v>0</v>
      </c>
      <c r="F282" s="6">
        <f>VLOOKUP(A282,Actual_Revenue!A:G,3,false)</f>
        <v>12070</v>
      </c>
      <c r="G282" s="6">
        <f>VLOOKUP(A282,Actual_Revenue!A:G,5,false)</f>
        <v>11949</v>
      </c>
      <c r="H282" s="6">
        <f t="shared" si="3"/>
        <v>121</v>
      </c>
      <c r="I282" s="5" t="str">
        <f t="shared" si="4"/>
        <v>EXCEPTION</v>
      </c>
      <c r="J282" s="5" t="str">
        <f>VLOOKUP(A282,Actual_Revenue!A:G,7,false)</f>
        <v/>
      </c>
    </row>
    <row r="283">
      <c r="A283" s="1" t="str">
        <f>LMS_Loan_Tape!A283</f>
        <v>LN-10282</v>
      </c>
      <c r="B283" s="6">
        <f>VLOOKUP(A283,Actual_Revenue!A:G,2,FALSE)</f>
        <v>13581</v>
      </c>
      <c r="C283" s="6">
        <f>VLOOKUP(A283,Actual_Revenue!A:G,4,FALSE)</f>
        <v>13581</v>
      </c>
      <c r="D283" s="6">
        <f t="shared" si="1"/>
        <v>0</v>
      </c>
      <c r="E283" s="7">
        <f t="shared" si="2"/>
        <v>0</v>
      </c>
      <c r="F283" s="6">
        <f>VLOOKUP(A283,Actual_Revenue!A:G,3,false)</f>
        <v>12104</v>
      </c>
      <c r="G283" s="6">
        <f>VLOOKUP(A283,Actual_Revenue!A:G,5,false)</f>
        <v>12104</v>
      </c>
      <c r="H283" s="6">
        <f t="shared" si="3"/>
        <v>0</v>
      </c>
      <c r="I283" s="5" t="str">
        <f t="shared" si="4"/>
        <v>MATCHED</v>
      </c>
      <c r="J283" s="5" t="str">
        <f>VLOOKUP(A283,Actual_Revenue!A:G,7,false)</f>
        <v/>
      </c>
    </row>
    <row r="284">
      <c r="A284" s="1" t="str">
        <f>LMS_Loan_Tape!A284</f>
        <v>LN-10283</v>
      </c>
      <c r="B284" s="6">
        <f>VLOOKUP(A284,Actual_Revenue!A:G,2,FALSE)</f>
        <v>48933</v>
      </c>
      <c r="C284" s="6">
        <f>VLOOKUP(A284,Actual_Revenue!A:G,4,FALSE)</f>
        <v>48933</v>
      </c>
      <c r="D284" s="6">
        <f t="shared" si="1"/>
        <v>0</v>
      </c>
      <c r="E284" s="7">
        <f t="shared" si="2"/>
        <v>0</v>
      </c>
      <c r="F284" s="6">
        <f>VLOOKUP(A284,Actual_Revenue!A:G,3,false)</f>
        <v>13948</v>
      </c>
      <c r="G284" s="6">
        <f>VLOOKUP(A284,Actual_Revenue!A:G,5,false)</f>
        <v>13948</v>
      </c>
      <c r="H284" s="6">
        <f t="shared" si="3"/>
        <v>0</v>
      </c>
      <c r="I284" s="5" t="str">
        <f t="shared" si="4"/>
        <v>MATCHED</v>
      </c>
      <c r="J284" s="5" t="str">
        <f>VLOOKUP(A284,Actual_Revenue!A:G,7,false)</f>
        <v/>
      </c>
    </row>
    <row r="285">
      <c r="A285" s="1" t="str">
        <f>LMS_Loan_Tape!A285</f>
        <v>LN-10284</v>
      </c>
      <c r="B285" s="6">
        <f>VLOOKUP(A285,Actual_Revenue!A:G,2,FALSE)</f>
        <v>224908</v>
      </c>
      <c r="C285" s="6">
        <f>VLOOKUP(A285,Actual_Revenue!A:G,4,FALSE)</f>
        <v>224908</v>
      </c>
      <c r="D285" s="6">
        <f t="shared" si="1"/>
        <v>0</v>
      </c>
      <c r="E285" s="7">
        <f t="shared" si="2"/>
        <v>0</v>
      </c>
      <c r="F285" s="6">
        <f>VLOOKUP(A285,Actual_Revenue!A:G,3,false)</f>
        <v>21159</v>
      </c>
      <c r="G285" s="6">
        <f>VLOOKUP(A285,Actual_Revenue!A:G,5,false)</f>
        <v>21159</v>
      </c>
      <c r="H285" s="6">
        <f t="shared" si="3"/>
        <v>0</v>
      </c>
      <c r="I285" s="5" t="str">
        <f t="shared" si="4"/>
        <v>MATCHED</v>
      </c>
      <c r="J285" s="5" t="str">
        <f>VLOOKUP(A285,Actual_Revenue!A:G,7,false)</f>
        <v/>
      </c>
    </row>
    <row r="286">
      <c r="A286" s="1" t="str">
        <f>LMS_Loan_Tape!A286</f>
        <v>LN-10285</v>
      </c>
      <c r="B286" s="6">
        <f>VLOOKUP(A286,Actual_Revenue!A:G,2,FALSE)</f>
        <v>95404</v>
      </c>
      <c r="C286" s="6">
        <f>VLOOKUP(A286,Actual_Revenue!A:G,4,FALSE)</f>
        <v>95404</v>
      </c>
      <c r="D286" s="6">
        <f t="shared" si="1"/>
        <v>0</v>
      </c>
      <c r="E286" s="7">
        <f t="shared" si="2"/>
        <v>0</v>
      </c>
      <c r="F286" s="6">
        <f>VLOOKUP(A286,Actual_Revenue!A:G,3,false)</f>
        <v>27458</v>
      </c>
      <c r="G286" s="6">
        <f>VLOOKUP(A286,Actual_Revenue!A:G,5,false)</f>
        <v>27183</v>
      </c>
      <c r="H286" s="6">
        <f t="shared" si="3"/>
        <v>275</v>
      </c>
      <c r="I286" s="5" t="str">
        <f t="shared" si="4"/>
        <v>EXCEPTION</v>
      </c>
      <c r="J286" s="5" t="str">
        <f>VLOOKUP(A286,Actual_Revenue!A:G,7,false)</f>
        <v/>
      </c>
    </row>
    <row r="287">
      <c r="A287" s="1" t="str">
        <f>LMS_Loan_Tape!A287</f>
        <v>LN-10286</v>
      </c>
      <c r="B287" s="6">
        <f>VLOOKUP(A287,Actual_Revenue!A:G,2,FALSE)</f>
        <v>198310</v>
      </c>
      <c r="C287" s="6">
        <f>VLOOKUP(A287,Actual_Revenue!A:G,4,FALSE)</f>
        <v>198310</v>
      </c>
      <c r="D287" s="6">
        <f t="shared" si="1"/>
        <v>0</v>
      </c>
      <c r="E287" s="7">
        <f t="shared" si="2"/>
        <v>0</v>
      </c>
      <c r="F287" s="6">
        <f>VLOOKUP(A287,Actual_Revenue!A:G,3,false)</f>
        <v>21359</v>
      </c>
      <c r="G287" s="6">
        <f>VLOOKUP(A287,Actual_Revenue!A:G,5,false)</f>
        <v>21359</v>
      </c>
      <c r="H287" s="6">
        <f t="shared" si="3"/>
        <v>0</v>
      </c>
      <c r="I287" s="5" t="str">
        <f t="shared" si="4"/>
        <v>MATCHED</v>
      </c>
      <c r="J287" s="5" t="str">
        <f>VLOOKUP(A287,Actual_Revenue!A:G,7,false)</f>
        <v/>
      </c>
    </row>
    <row r="288">
      <c r="A288" s="1" t="str">
        <f>LMS_Loan_Tape!A288</f>
        <v>LN-10287</v>
      </c>
      <c r="B288" s="6">
        <f>VLOOKUP(A288,Actual_Revenue!A:G,2,FALSE)</f>
        <v>261100</v>
      </c>
      <c r="C288" s="6">
        <f>VLOOKUP(A288,Actual_Revenue!A:G,4,FALSE)</f>
        <v>261100</v>
      </c>
      <c r="D288" s="6">
        <f t="shared" si="1"/>
        <v>0</v>
      </c>
      <c r="E288" s="7">
        <f t="shared" si="2"/>
        <v>0</v>
      </c>
      <c r="F288" s="6">
        <f>VLOOKUP(A288,Actual_Revenue!A:G,3,false)</f>
        <v>23179</v>
      </c>
      <c r="G288" s="6">
        <f>VLOOKUP(A288,Actual_Revenue!A:G,5,false)</f>
        <v>23179</v>
      </c>
      <c r="H288" s="6">
        <f t="shared" si="3"/>
        <v>0</v>
      </c>
      <c r="I288" s="5" t="str">
        <f t="shared" si="4"/>
        <v>MATCHED</v>
      </c>
      <c r="J288" s="5" t="str">
        <f>VLOOKUP(A288,Actual_Revenue!A:G,7,false)</f>
        <v/>
      </c>
    </row>
    <row r="289">
      <c r="A289" s="1" t="str">
        <f>LMS_Loan_Tape!A289</f>
        <v>LN-10288</v>
      </c>
      <c r="B289" s="6">
        <f>VLOOKUP(A289,Actual_Revenue!A:G,2,FALSE)</f>
        <v>193776</v>
      </c>
      <c r="C289" s="6">
        <f>VLOOKUP(A289,Actual_Revenue!A:G,4,FALSE)</f>
        <v>193776</v>
      </c>
      <c r="D289" s="6">
        <f t="shared" si="1"/>
        <v>0</v>
      </c>
      <c r="E289" s="7">
        <f t="shared" si="2"/>
        <v>0</v>
      </c>
      <c r="F289" s="6">
        <f>VLOOKUP(A289,Actual_Revenue!A:G,3,false)</f>
        <v>22812</v>
      </c>
      <c r="G289" s="6">
        <f>VLOOKUP(A289,Actual_Revenue!A:G,5,false)</f>
        <v>22812</v>
      </c>
      <c r="H289" s="6">
        <f t="shared" si="3"/>
        <v>0</v>
      </c>
      <c r="I289" s="5" t="str">
        <f t="shared" si="4"/>
        <v>MATCHED</v>
      </c>
      <c r="J289" s="5" t="str">
        <f>VLOOKUP(A289,Actual_Revenue!A:G,7,false)</f>
        <v/>
      </c>
    </row>
    <row r="290">
      <c r="A290" s="1" t="str">
        <f>LMS_Loan_Tape!A290</f>
        <v>LN-10289</v>
      </c>
      <c r="B290" s="6">
        <f>VLOOKUP(A290,Actual_Revenue!A:G,2,FALSE)</f>
        <v>223176</v>
      </c>
      <c r="C290" s="6">
        <f>VLOOKUP(A290,Actual_Revenue!A:G,4,FALSE)</f>
        <v>223176</v>
      </c>
      <c r="D290" s="6">
        <f t="shared" si="1"/>
        <v>0</v>
      </c>
      <c r="E290" s="7">
        <f t="shared" si="2"/>
        <v>0</v>
      </c>
      <c r="F290" s="6">
        <f>VLOOKUP(A290,Actual_Revenue!A:G,3,false)</f>
        <v>39617</v>
      </c>
      <c r="G290" s="6">
        <f>VLOOKUP(A290,Actual_Revenue!A:G,5,false)</f>
        <v>39220</v>
      </c>
      <c r="H290" s="6">
        <f t="shared" si="3"/>
        <v>397</v>
      </c>
      <c r="I290" s="5" t="str">
        <f t="shared" si="4"/>
        <v>EXCEPTION</v>
      </c>
      <c r="J290" s="5" t="str">
        <f>VLOOKUP(A290,Actual_Revenue!A:G,7,false)</f>
        <v/>
      </c>
    </row>
    <row r="291">
      <c r="A291" s="1" t="str">
        <f>LMS_Loan_Tape!A291</f>
        <v>LN-10290</v>
      </c>
      <c r="B291" s="6">
        <f>VLOOKUP(A291,Actual_Revenue!A:G,2,FALSE)</f>
        <v>102528</v>
      </c>
      <c r="C291" s="6">
        <f>VLOOKUP(A291,Actual_Revenue!A:G,4,FALSE)</f>
        <v>102528</v>
      </c>
      <c r="D291" s="6">
        <f t="shared" si="1"/>
        <v>0</v>
      </c>
      <c r="E291" s="7">
        <f t="shared" si="2"/>
        <v>0</v>
      </c>
      <c r="F291" s="6">
        <f>VLOOKUP(A291,Actual_Revenue!A:G,3,false)</f>
        <v>12918</v>
      </c>
      <c r="G291" s="6">
        <f>VLOOKUP(A291,Actual_Revenue!A:G,5,false)</f>
        <v>12918</v>
      </c>
      <c r="H291" s="6">
        <f t="shared" si="3"/>
        <v>0</v>
      </c>
      <c r="I291" s="5" t="str">
        <f t="shared" si="4"/>
        <v>MATCHED</v>
      </c>
      <c r="J291" s="5" t="str">
        <f>VLOOKUP(A291,Actual_Revenue!A:G,7,false)</f>
        <v/>
      </c>
    </row>
    <row r="292">
      <c r="A292" s="1" t="str">
        <f>LMS_Loan_Tape!A292</f>
        <v>LN-10291</v>
      </c>
      <c r="B292" s="6">
        <f>VLOOKUP(A292,Actual_Revenue!A:G,2,FALSE)</f>
        <v>141525</v>
      </c>
      <c r="C292" s="6">
        <f>VLOOKUP(A292,Actual_Revenue!A:G,4,FALSE)</f>
        <v>148601</v>
      </c>
      <c r="D292" s="6">
        <f t="shared" si="1"/>
        <v>-7076</v>
      </c>
      <c r="E292" s="7">
        <f t="shared" si="2"/>
        <v>-0.04999823353</v>
      </c>
      <c r="F292" s="6">
        <f>VLOOKUP(A292,Actual_Revenue!A:G,3,false)</f>
        <v>12129</v>
      </c>
      <c r="G292" s="6">
        <f>VLOOKUP(A292,Actual_Revenue!A:G,5,false)</f>
        <v>12129</v>
      </c>
      <c r="H292" s="6">
        <f t="shared" si="3"/>
        <v>0</v>
      </c>
      <c r="I292" s="5" t="str">
        <f t="shared" si="4"/>
        <v>EXCEPTION</v>
      </c>
      <c r="J292" s="5" t="str">
        <f>VLOOKUP(A292,Actual_Revenue!A:G,7,false)</f>
        <v>Rate Change</v>
      </c>
    </row>
    <row r="293">
      <c r="A293" s="1" t="str">
        <f>LMS_Loan_Tape!A293</f>
        <v>LN-10292</v>
      </c>
      <c r="B293" s="6">
        <f>VLOOKUP(A293,Actual_Revenue!A:G,2,FALSE)</f>
        <v>94574</v>
      </c>
      <c r="C293" s="6">
        <f>VLOOKUP(A293,Actual_Revenue!A:G,4,FALSE)</f>
        <v>94574</v>
      </c>
      <c r="D293" s="6">
        <f t="shared" si="1"/>
        <v>0</v>
      </c>
      <c r="E293" s="7">
        <f t="shared" si="2"/>
        <v>0</v>
      </c>
      <c r="F293" s="6">
        <f>VLOOKUP(A293,Actual_Revenue!A:G,3,false)</f>
        <v>28402</v>
      </c>
      <c r="G293" s="6">
        <f>VLOOKUP(A293,Actual_Revenue!A:G,5,false)</f>
        <v>28402</v>
      </c>
      <c r="H293" s="6">
        <f t="shared" si="3"/>
        <v>0</v>
      </c>
      <c r="I293" s="5" t="str">
        <f t="shared" si="4"/>
        <v>MATCHED</v>
      </c>
      <c r="J293" s="5" t="str">
        <f>VLOOKUP(A293,Actual_Revenue!A:G,7,false)</f>
        <v/>
      </c>
    </row>
    <row r="294">
      <c r="A294" s="1" t="str">
        <f>LMS_Loan_Tape!A294</f>
        <v>LN-10293</v>
      </c>
      <c r="B294" s="6">
        <f>VLOOKUP(A294,Actual_Revenue!A:G,2,FALSE)</f>
        <v>73572</v>
      </c>
      <c r="C294" s="6">
        <f>VLOOKUP(A294,Actual_Revenue!A:G,4,FALSE)</f>
        <v>66214</v>
      </c>
      <c r="D294" s="6">
        <f t="shared" si="1"/>
        <v>7358</v>
      </c>
      <c r="E294" s="7">
        <f t="shared" si="2"/>
        <v>0.1000108737</v>
      </c>
      <c r="F294" s="6">
        <f>VLOOKUP(A294,Actual_Revenue!A:G,3,false)</f>
        <v>10115</v>
      </c>
      <c r="G294" s="6">
        <f>VLOOKUP(A294,Actual_Revenue!A:G,5,false)</f>
        <v>5057</v>
      </c>
      <c r="H294" s="6">
        <f t="shared" si="3"/>
        <v>5058</v>
      </c>
      <c r="I294" s="5" t="str">
        <f t="shared" si="4"/>
        <v>EXCEPTION</v>
      </c>
      <c r="J294" s="5" t="str">
        <f>VLOOKUP(A294,Actual_Revenue!A:G,7,false)</f>
        <v>Waiver Applied</v>
      </c>
    </row>
    <row r="295">
      <c r="A295" s="1" t="str">
        <f>LMS_Loan_Tape!A295</f>
        <v>LN-10294</v>
      </c>
      <c r="B295" s="6">
        <f>VLOOKUP(A295,Actual_Revenue!A:G,2,FALSE)</f>
        <v>81747</v>
      </c>
      <c r="C295" s="6">
        <f>VLOOKUP(A295,Actual_Revenue!A:G,4,FALSE)</f>
        <v>80112</v>
      </c>
      <c r="D295" s="6">
        <f t="shared" si="1"/>
        <v>1635</v>
      </c>
      <c r="E295" s="7">
        <f t="shared" si="2"/>
        <v>0.02000073397</v>
      </c>
      <c r="F295" s="6">
        <f>VLOOKUP(A295,Actual_Revenue!A:G,3,false)</f>
        <v>6922</v>
      </c>
      <c r="G295" s="6">
        <f>VLOOKUP(A295,Actual_Revenue!A:G,5,false)</f>
        <v>6922</v>
      </c>
      <c r="H295" s="6">
        <f t="shared" si="3"/>
        <v>0</v>
      </c>
      <c r="I295" s="5" t="str">
        <f t="shared" si="4"/>
        <v>EXCEPTION</v>
      </c>
      <c r="J295" s="5" t="str">
        <f>VLOOKUP(A295,Actual_Revenue!A:G,7,false)</f>
        <v/>
      </c>
    </row>
    <row r="296">
      <c r="A296" s="1" t="str">
        <f>LMS_Loan_Tape!A296</f>
        <v>LN-10295</v>
      </c>
      <c r="B296" s="6">
        <f>VLOOKUP(A296,Actual_Revenue!A:G,2,FALSE)</f>
        <v>35186</v>
      </c>
      <c r="C296" s="6">
        <f>VLOOKUP(A296,Actual_Revenue!A:G,4,FALSE)</f>
        <v>35186</v>
      </c>
      <c r="D296" s="6">
        <f t="shared" si="1"/>
        <v>0</v>
      </c>
      <c r="E296" s="7">
        <f t="shared" si="2"/>
        <v>0</v>
      </c>
      <c r="F296" s="6">
        <f>VLOOKUP(A296,Actual_Revenue!A:G,3,false)</f>
        <v>4732</v>
      </c>
      <c r="G296" s="6">
        <f>VLOOKUP(A296,Actual_Revenue!A:G,5,false)</f>
        <v>4732</v>
      </c>
      <c r="H296" s="6">
        <f t="shared" si="3"/>
        <v>0</v>
      </c>
      <c r="I296" s="5" t="str">
        <f t="shared" si="4"/>
        <v>MATCHED</v>
      </c>
      <c r="J296" s="5" t="str">
        <f>VLOOKUP(A296,Actual_Revenue!A:G,7,false)</f>
        <v/>
      </c>
    </row>
    <row r="297">
      <c r="A297" s="1" t="str">
        <f>LMS_Loan_Tape!A297</f>
        <v>LN-10296</v>
      </c>
      <c r="B297" s="6">
        <f>VLOOKUP(A297,Actual_Revenue!A:G,2,FALSE)</f>
        <v>303872</v>
      </c>
      <c r="C297" s="6">
        <f>VLOOKUP(A297,Actual_Revenue!A:G,4,FALSE)</f>
        <v>303872</v>
      </c>
      <c r="D297" s="6">
        <f t="shared" si="1"/>
        <v>0</v>
      </c>
      <c r="E297" s="7">
        <f t="shared" si="2"/>
        <v>0</v>
      </c>
      <c r="F297" s="6">
        <f>VLOOKUP(A297,Actual_Revenue!A:G,3,false)</f>
        <v>31699</v>
      </c>
      <c r="G297" s="6">
        <f>VLOOKUP(A297,Actual_Revenue!A:G,5,false)</f>
        <v>31699</v>
      </c>
      <c r="H297" s="6">
        <f t="shared" si="3"/>
        <v>0</v>
      </c>
      <c r="I297" s="5" t="str">
        <f t="shared" si="4"/>
        <v>MATCHED</v>
      </c>
      <c r="J297" s="5" t="str">
        <f>VLOOKUP(A297,Actual_Revenue!A:G,7,false)</f>
        <v/>
      </c>
    </row>
    <row r="298">
      <c r="A298" s="1" t="str">
        <f>LMS_Loan_Tape!A298</f>
        <v>LN-10297</v>
      </c>
      <c r="B298" s="6">
        <f>VLOOKUP(A298,Actual_Revenue!A:G,2,FALSE)</f>
        <v>71726</v>
      </c>
      <c r="C298" s="6">
        <f>VLOOKUP(A298,Actual_Revenue!A:G,4,FALSE)</f>
        <v>71726</v>
      </c>
      <c r="D298" s="6">
        <f t="shared" si="1"/>
        <v>0</v>
      </c>
      <c r="E298" s="7">
        <f t="shared" si="2"/>
        <v>0</v>
      </c>
      <c r="F298" s="6">
        <f>VLOOKUP(A298,Actual_Revenue!A:G,3,false)</f>
        <v>15132</v>
      </c>
      <c r="G298" s="6">
        <f>VLOOKUP(A298,Actual_Revenue!A:G,5,false)</f>
        <v>15132</v>
      </c>
      <c r="H298" s="6">
        <f t="shared" si="3"/>
        <v>0</v>
      </c>
      <c r="I298" s="5" t="str">
        <f t="shared" si="4"/>
        <v>MATCHED</v>
      </c>
      <c r="J298" s="5" t="str">
        <f>VLOOKUP(A298,Actual_Revenue!A:G,7,false)</f>
        <v/>
      </c>
    </row>
    <row r="299">
      <c r="A299" s="1" t="str">
        <f>LMS_Loan_Tape!A299</f>
        <v>LN-10298</v>
      </c>
      <c r="B299" s="6">
        <f>VLOOKUP(A299,Actual_Revenue!A:G,2,FALSE)</f>
        <v>444683</v>
      </c>
      <c r="C299" s="6">
        <f>VLOOKUP(A299,Actual_Revenue!A:G,4,FALSE)</f>
        <v>444683</v>
      </c>
      <c r="D299" s="6">
        <f t="shared" si="1"/>
        <v>0</v>
      </c>
      <c r="E299" s="7">
        <f t="shared" si="2"/>
        <v>0</v>
      </c>
      <c r="F299" s="6">
        <f>VLOOKUP(A299,Actual_Revenue!A:G,3,false)</f>
        <v>31968</v>
      </c>
      <c r="G299" s="6">
        <f>VLOOKUP(A299,Actual_Revenue!A:G,5,false)</f>
        <v>31968</v>
      </c>
      <c r="H299" s="6">
        <f t="shared" si="3"/>
        <v>0</v>
      </c>
      <c r="I299" s="5" t="str">
        <f t="shared" si="4"/>
        <v>MATCHED</v>
      </c>
      <c r="J299" s="5" t="str">
        <f>VLOOKUP(A299,Actual_Revenue!A:G,7,false)</f>
        <v/>
      </c>
    </row>
    <row r="300">
      <c r="A300" s="1" t="str">
        <f>LMS_Loan_Tape!A300</f>
        <v>LN-10299</v>
      </c>
      <c r="B300" s="6">
        <f>VLOOKUP(A300,Actual_Revenue!A:G,2,FALSE)</f>
        <v>136961</v>
      </c>
      <c r="C300" s="6">
        <f>VLOOKUP(A300,Actual_Revenue!A:G,4,FALSE)</f>
        <v>136961</v>
      </c>
      <c r="D300" s="6">
        <f t="shared" si="1"/>
        <v>0</v>
      </c>
      <c r="E300" s="7">
        <f t="shared" si="2"/>
        <v>0</v>
      </c>
      <c r="F300" s="6">
        <f>VLOOKUP(A300,Actual_Revenue!A:G,3,false)</f>
        <v>15465</v>
      </c>
      <c r="G300" s="6">
        <f>VLOOKUP(A300,Actual_Revenue!A:G,5,false)</f>
        <v>15465</v>
      </c>
      <c r="H300" s="6">
        <f t="shared" si="3"/>
        <v>0</v>
      </c>
      <c r="I300" s="5" t="str">
        <f t="shared" si="4"/>
        <v>MATCHED</v>
      </c>
      <c r="J300" s="5" t="str">
        <f>VLOOKUP(A300,Actual_Revenue!A:G,7,false)</f>
        <v/>
      </c>
    </row>
    <row r="301">
      <c r="A301" s="1" t="str">
        <f>LMS_Loan_Tape!A301</f>
        <v>LN-10300</v>
      </c>
      <c r="B301" s="6">
        <f>VLOOKUP(A301,Actual_Revenue!A:G,2,FALSE)</f>
        <v>396933</v>
      </c>
      <c r="C301" s="6">
        <f>VLOOKUP(A301,Actual_Revenue!A:G,4,FALSE)</f>
        <v>396933</v>
      </c>
      <c r="D301" s="6">
        <f t="shared" si="1"/>
        <v>0</v>
      </c>
      <c r="E301" s="7">
        <f t="shared" si="2"/>
        <v>0</v>
      </c>
      <c r="F301" s="6">
        <f>VLOOKUP(A301,Actual_Revenue!A:G,3,false)</f>
        <v>40369</v>
      </c>
      <c r="G301" s="6">
        <f>VLOOKUP(A301,Actual_Revenue!A:G,5,false)</f>
        <v>40369</v>
      </c>
      <c r="H301" s="6">
        <f t="shared" si="3"/>
        <v>0</v>
      </c>
      <c r="I301" s="5" t="str">
        <f t="shared" si="4"/>
        <v>MATCHED</v>
      </c>
      <c r="J301" s="5" t="str">
        <f>VLOOKUP(A301,Actual_Revenue!A:G,7,false)</f>
        <v/>
      </c>
    </row>
    <row r="302">
      <c r="A302" s="1" t="str">
        <f>LMS_Loan_Tape!A302</f>
        <v/>
      </c>
    </row>
    <row r="303">
      <c r="A303" s="1" t="str">
        <f>LMS_Loan_Tape!A303</f>
        <v/>
      </c>
    </row>
    <row r="304">
      <c r="A304" s="1" t="str">
        <f>LMS_Loan_Tape!A304</f>
        <v/>
      </c>
    </row>
    <row r="305">
      <c r="A305" s="1" t="str">
        <f>LMS_Loan_Tape!A305</f>
        <v/>
      </c>
    </row>
    <row r="306">
      <c r="A306" s="1" t="str">
        <f>LMS_Loan_Tape!A306</f>
        <v/>
      </c>
      <c r="F306" s="11"/>
      <c r="G306" s="11"/>
      <c r="H306" s="12"/>
    </row>
    <row r="307">
      <c r="A307" s="1" t="str">
        <f>LMS_Loan_Tape!A307</f>
        <v/>
      </c>
      <c r="H307" s="13"/>
    </row>
    <row r="308">
      <c r="A308" s="1" t="str">
        <f>LMS_Loan_Tape!A308</f>
        <v/>
      </c>
      <c r="B308" s="14"/>
      <c r="H308" s="13"/>
    </row>
    <row r="309">
      <c r="B309" s="14"/>
      <c r="H309" s="13"/>
    </row>
    <row r="310">
      <c r="B310" s="14"/>
      <c r="H310" s="13"/>
    </row>
    <row r="311">
      <c r="B311" s="14"/>
      <c r="H311" s="13"/>
    </row>
    <row r="312">
      <c r="B312" s="14"/>
      <c r="H312" s="13"/>
    </row>
    <row r="313">
      <c r="B313" s="14"/>
      <c r="H313" s="13"/>
    </row>
    <row r="314">
      <c r="B314" s="14"/>
      <c r="H314" s="13"/>
    </row>
    <row r="315">
      <c r="B315" s="14"/>
      <c r="H315" s="13"/>
    </row>
    <row r="316">
      <c r="B316" s="14"/>
      <c r="H316" s="13"/>
    </row>
    <row r="317">
      <c r="B317" s="14"/>
      <c r="H317" s="13"/>
    </row>
    <row r="318">
      <c r="B318" s="14"/>
      <c r="H318" s="13"/>
    </row>
    <row r="319">
      <c r="B319" s="15"/>
      <c r="C319" s="16"/>
      <c r="D319" s="16"/>
      <c r="E319" s="16"/>
      <c r="F319" s="16"/>
      <c r="G319" s="16"/>
      <c r="H319" s="17"/>
    </row>
  </sheetData>
  <conditionalFormatting sqref="A1:A1000 B1:E305 F1:J1000 L3:O4 B308:E1000">
    <cfRule type="cellIs" dxfId="0" priority="1" operator="equal">
      <formula>"MATCHED"</formula>
    </cfRule>
  </conditionalFormatting>
  <conditionalFormatting sqref="A1:A1000 B1:E305 F1:J1000 L3:O4 B308:E1000">
    <cfRule type="cellIs" dxfId="1" priority="2" operator="equal">
      <formula>"EXCEPTION"</formula>
    </cfRule>
  </conditionalFormatting>
  <conditionalFormatting sqref="A1:A1000 B1:E305 F1:J1000 L3:O4 B308:E1000">
    <cfRule type="cellIs" dxfId="2" priority="3" operator="between">
      <formula>0.05</formula>
      <formula>0.15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8.38"/>
  </cols>
  <sheetData>
    <row r="1">
      <c r="A1" s="1" t="s">
        <v>336</v>
      </c>
      <c r="B1" s="1" t="s">
        <v>337</v>
      </c>
      <c r="C1" s="1" t="s">
        <v>338</v>
      </c>
      <c r="D1" s="1" t="s">
        <v>339</v>
      </c>
      <c r="E1" s="1" t="s">
        <v>340</v>
      </c>
      <c r="F1" s="1" t="s">
        <v>341</v>
      </c>
      <c r="G1" s="1" t="s">
        <v>342</v>
      </c>
      <c r="H1" s="1" t="s">
        <v>343</v>
      </c>
      <c r="I1" s="1" t="s">
        <v>344</v>
      </c>
      <c r="J1" s="1" t="s">
        <v>345</v>
      </c>
      <c r="K1" s="1" t="s">
        <v>351</v>
      </c>
      <c r="L1" s="1" t="s">
        <v>352</v>
      </c>
      <c r="M1" s="1" t="s">
        <v>353</v>
      </c>
      <c r="N1" s="1" t="s">
        <v>5</v>
      </c>
      <c r="O1" s="1" t="s">
        <v>354</v>
      </c>
      <c r="P1" s="18" t="s">
        <v>345</v>
      </c>
      <c r="Q1" s="19" t="s">
        <v>355</v>
      </c>
      <c r="R1" s="20" t="s">
        <v>356</v>
      </c>
    </row>
    <row r="2">
      <c r="A2" s="21" t="str">
        <f>IFERROR(__xludf.DUMMYFUNCTION("FILTER(Reconciliation!A:J, Reconciliation!I:I = ""EXCEPTION"")"),"LN-10001")</f>
        <v>LN-10001</v>
      </c>
      <c r="B2" s="6">
        <f>IFERROR(__xludf.DUMMYFUNCTION("""COMPUTED_VALUE"""),305868.0)</f>
        <v>305868</v>
      </c>
      <c r="C2" s="6">
        <f>IFERROR(__xludf.DUMMYFUNCTION("""COMPUTED_VALUE"""),299750.0)</f>
        <v>299750</v>
      </c>
      <c r="D2" s="6">
        <f>IFERROR(__xludf.DUMMYFUNCTION("""COMPUTED_VALUE"""),6118.0)</f>
        <v>6118</v>
      </c>
      <c r="E2" s="7">
        <f>IFERROR(__xludf.DUMMYFUNCTION("""COMPUTED_VALUE"""),0.02000209240587443)</f>
        <v>0.02000209241</v>
      </c>
      <c r="F2" s="6">
        <f>IFERROR(__xludf.DUMMYFUNCTION("""COMPUTED_VALUE"""),33318.0)</f>
        <v>33318</v>
      </c>
      <c r="G2" s="6">
        <f>IFERROR(__xludf.DUMMYFUNCTION("""COMPUTED_VALUE"""),33318.0)</f>
        <v>33318</v>
      </c>
      <c r="H2" s="6">
        <f>IFERROR(__xludf.DUMMYFUNCTION("""COMPUTED_VALUE"""),0.0)</f>
        <v>0</v>
      </c>
      <c r="I2" s="5" t="str">
        <f>IFERROR(__xludf.DUMMYFUNCTION("""COMPUTED_VALUE"""),"EXCEPTION")</f>
        <v>EXCEPTION</v>
      </c>
      <c r="J2" s="5"/>
      <c r="K2" s="5" t="str">
        <f t="shared" ref="K2:K87" si="1">IFS(J2="Prepayment", "Update schedule, recalculate interest",J2="System Error", "Escalate to tech team",J2="Waiver Applied", "Verify approval, update ledger",J2="Partial Payment", "Contact customer for balance",J2="Rate Change", "Update loan agreement",J2="", "" )</f>
        <v/>
      </c>
      <c r="L2" s="5" t="str">
        <f>VLOOKUP(A2,LMS_Loan_Tape!A:Z,7,FALSE)</f>
        <v>DMI</v>
      </c>
      <c r="M2" s="6">
        <f t="shared" ref="M2:M87" si="2">D2+H2</f>
        <v>6118</v>
      </c>
      <c r="N2" s="5" t="str">
        <f>VLOOKUP(A2,LMS_Loan_Tape!A:Z,6,FALSE)</f>
        <v>Personal Loan</v>
      </c>
      <c r="O2" s="5">
        <f>VLOOKUP(A2, LMS_Loan_Tape!A1:Z1000,11,false)</f>
        <v>3</v>
      </c>
      <c r="P2" s="14" t="s">
        <v>331</v>
      </c>
      <c r="Q2" s="5">
        <f>COUNTIF(J:J,"System Error")</f>
        <v>12</v>
      </c>
      <c r="R2" s="13">
        <f>SUMIF(J:J,"System Error",D:D)+SUMIF(J:J,"System Error",H:H)</f>
        <v>-6730</v>
      </c>
    </row>
    <row r="3">
      <c r="A3" s="5" t="str">
        <f>IFERROR(__xludf.DUMMYFUNCTION("""COMPUTED_VALUE"""),"LN-10002")</f>
        <v>LN-10002</v>
      </c>
      <c r="B3" s="6">
        <f>IFERROR(__xludf.DUMMYFUNCTION("""COMPUTED_VALUE"""),70319.0)</f>
        <v>70319</v>
      </c>
      <c r="C3" s="6">
        <f>IFERROR(__xludf.DUMMYFUNCTION("""COMPUTED_VALUE"""),70754.0)</f>
        <v>70754</v>
      </c>
      <c r="D3" s="6">
        <f>IFERROR(__xludf.DUMMYFUNCTION("""COMPUTED_VALUE"""),-435.0)</f>
        <v>-435</v>
      </c>
      <c r="E3" s="7">
        <f>IFERROR(__xludf.DUMMYFUNCTION("""COMPUTED_VALUE"""),-0.006186094796569917)</f>
        <v>-0.006186094797</v>
      </c>
      <c r="F3" s="6">
        <f>IFERROR(__xludf.DUMMYFUNCTION("""COMPUTED_VALUE"""),9347.0)</f>
        <v>9347</v>
      </c>
      <c r="G3" s="6">
        <f>IFERROR(__xludf.DUMMYFUNCTION("""COMPUTED_VALUE"""),9347.0)</f>
        <v>9347</v>
      </c>
      <c r="H3" s="6">
        <f>IFERROR(__xludf.DUMMYFUNCTION("""COMPUTED_VALUE"""),0.0)</f>
        <v>0</v>
      </c>
      <c r="I3" s="5" t="str">
        <f>IFERROR(__xludf.DUMMYFUNCTION("""COMPUTED_VALUE"""),"EXCEPTION")</f>
        <v>EXCEPTION</v>
      </c>
      <c r="J3" s="5" t="str">
        <f>IFERROR(__xludf.DUMMYFUNCTION("""COMPUTED_VALUE"""),"System Error")</f>
        <v>System Error</v>
      </c>
      <c r="K3" s="5" t="str">
        <f t="shared" si="1"/>
        <v>Escalate to tech team</v>
      </c>
      <c r="L3" s="5" t="str">
        <f>VLOOKUP(A3,LMS_Loan_Tape!A:Z,7,FALSE)</f>
        <v>Tata Capital</v>
      </c>
      <c r="M3" s="6">
        <f t="shared" si="2"/>
        <v>-435</v>
      </c>
      <c r="N3" s="5" t="str">
        <f>VLOOKUP(A3,LMS_Loan_Tape!A:Z,6,FALSE)</f>
        <v>Business Loan</v>
      </c>
      <c r="O3" s="5">
        <f>VLOOKUP(A3, LMS_Loan_Tape!A2:Z1001,11,false)</f>
        <v>6</v>
      </c>
      <c r="P3" s="14" t="s">
        <v>332</v>
      </c>
      <c r="Q3" s="5">
        <f>COUNTIF(J:J,"Partial Payment")</f>
        <v>12</v>
      </c>
      <c r="R3" s="13">
        <f>SUMIF(J:J,"Partial Payment",D:D)+SUMIF(J:J,"Partial Payment",H:H)</f>
        <v>856935</v>
      </c>
    </row>
    <row r="4">
      <c r="A4" s="5" t="str">
        <f>IFERROR(__xludf.DUMMYFUNCTION("""COMPUTED_VALUE"""),"LN-10008")</f>
        <v>LN-10008</v>
      </c>
      <c r="B4" s="6">
        <f>IFERROR(__xludf.DUMMYFUNCTION("""COMPUTED_VALUE"""),187426.0)</f>
        <v>187426</v>
      </c>
      <c r="C4" s="6">
        <f>IFERROR(__xludf.DUMMYFUNCTION("""COMPUTED_VALUE"""),112455.0)</f>
        <v>112455</v>
      </c>
      <c r="D4" s="6">
        <f>IFERROR(__xludf.DUMMYFUNCTION("""COMPUTED_VALUE"""),74971.0)</f>
        <v>74971</v>
      </c>
      <c r="E4" s="7">
        <f>IFERROR(__xludf.DUMMYFUNCTION("""COMPUTED_VALUE"""),0.400003201263432)</f>
        <v>0.4000032013</v>
      </c>
      <c r="F4" s="6">
        <f>IFERROR(__xludf.DUMMYFUNCTION("""COMPUTED_VALUE"""),28021.0)</f>
        <v>28021</v>
      </c>
      <c r="G4" s="6">
        <f>IFERROR(__xludf.DUMMYFUNCTION("""COMPUTED_VALUE"""),28021.0)</f>
        <v>28021</v>
      </c>
      <c r="H4" s="6">
        <f>IFERROR(__xludf.DUMMYFUNCTION("""COMPUTED_VALUE"""),0.0)</f>
        <v>0</v>
      </c>
      <c r="I4" s="5" t="str">
        <f>IFERROR(__xludf.DUMMYFUNCTION("""COMPUTED_VALUE"""),"EXCEPTION")</f>
        <v>EXCEPTION</v>
      </c>
      <c r="J4" s="5" t="str">
        <f>IFERROR(__xludf.DUMMYFUNCTION("""COMPUTED_VALUE"""),"Partial Payment")</f>
        <v>Partial Payment</v>
      </c>
      <c r="K4" s="5" t="str">
        <f t="shared" si="1"/>
        <v>Contact customer for balance</v>
      </c>
      <c r="L4" s="5" t="str">
        <f>VLOOKUP(A4,LMS_Loan_Tape!A:Z,7,FALSE)</f>
        <v>Tata Capital</v>
      </c>
      <c r="M4" s="6">
        <f t="shared" si="2"/>
        <v>74971</v>
      </c>
      <c r="N4" s="5" t="str">
        <f>VLOOKUP(A4,LMS_Loan_Tape!A:Z,6,FALSE)</f>
        <v>Business Loan</v>
      </c>
      <c r="O4" s="5">
        <f>VLOOKUP(A4, LMS_Loan_Tape!A3:Z1002,11,false)</f>
        <v>7</v>
      </c>
      <c r="P4" s="14" t="s">
        <v>333</v>
      </c>
      <c r="Q4" s="5">
        <f>COUNTIF(J:J,"Rate Change")</f>
        <v>9</v>
      </c>
      <c r="R4" s="13">
        <f>SUMIF(J:J,"Rate Change",D:D)+SUMIF(J:J,"Rate Change",H:H)</f>
        <v>-57604</v>
      </c>
    </row>
    <row r="5">
      <c r="A5" s="5" t="str">
        <f>IFERROR(__xludf.DUMMYFUNCTION("""COMPUTED_VALUE"""),"LN-10011")</f>
        <v>LN-10011</v>
      </c>
      <c r="B5" s="6">
        <f>IFERROR(__xludf.DUMMYFUNCTION("""COMPUTED_VALUE"""),319543.0)</f>
        <v>319543</v>
      </c>
      <c r="C5" s="6">
        <f>IFERROR(__xludf.DUMMYFUNCTION("""COMPUTED_VALUE"""),335520.0)</f>
        <v>335520</v>
      </c>
      <c r="D5" s="6">
        <f>IFERROR(__xludf.DUMMYFUNCTION("""COMPUTED_VALUE"""),-15977.0)</f>
        <v>-15977</v>
      </c>
      <c r="E5" s="7">
        <f>IFERROR(__xludf.DUMMYFUNCTION("""COMPUTED_VALUE"""),-0.04999953057960901)</f>
        <v>-0.04999953058</v>
      </c>
      <c r="F5" s="6">
        <f>IFERROR(__xludf.DUMMYFUNCTION("""COMPUTED_VALUE"""),44197.0)</f>
        <v>44197</v>
      </c>
      <c r="G5" s="6">
        <f>IFERROR(__xludf.DUMMYFUNCTION("""COMPUTED_VALUE"""),44197.0)</f>
        <v>44197</v>
      </c>
      <c r="H5" s="6">
        <f>IFERROR(__xludf.DUMMYFUNCTION("""COMPUTED_VALUE"""),0.0)</f>
        <v>0</v>
      </c>
      <c r="I5" s="5" t="str">
        <f>IFERROR(__xludf.DUMMYFUNCTION("""COMPUTED_VALUE"""),"EXCEPTION")</f>
        <v>EXCEPTION</v>
      </c>
      <c r="J5" s="5" t="str">
        <f>IFERROR(__xludf.DUMMYFUNCTION("""COMPUTED_VALUE"""),"Rate Change")</f>
        <v>Rate Change</v>
      </c>
      <c r="K5" s="5" t="str">
        <f t="shared" si="1"/>
        <v>Update loan agreement</v>
      </c>
      <c r="L5" s="5" t="str">
        <f>VLOOKUP(A5,LMS_Loan_Tape!A:Z,7,FALSE)</f>
        <v>Tata Capital</v>
      </c>
      <c r="M5" s="6">
        <f t="shared" si="2"/>
        <v>-15977</v>
      </c>
      <c r="N5" s="5" t="str">
        <f>VLOOKUP(A5,LMS_Loan_Tape!A:Z,6,FALSE)</f>
        <v>Home Loan</v>
      </c>
      <c r="O5" s="5">
        <f>VLOOKUP(A5, LMS_Loan_Tape!A4:Z1003,11,false)</f>
        <v>5</v>
      </c>
      <c r="P5" s="14" t="s">
        <v>334</v>
      </c>
      <c r="Q5" s="5">
        <f>COUNTIF(J:J,"Prepayment")</f>
        <v>4</v>
      </c>
      <c r="R5" s="13">
        <f>SUMIF(J:J,"Prepayment",D:D)+SUMIF(J:J,"Prepayment",H:H)</f>
        <v>42022</v>
      </c>
    </row>
    <row r="6">
      <c r="A6" s="5" t="str">
        <f>IFERROR(__xludf.DUMMYFUNCTION("""COMPUTED_VALUE"""),"LN-10013")</f>
        <v>LN-10013</v>
      </c>
      <c r="B6" s="6">
        <f>IFERROR(__xludf.DUMMYFUNCTION("""COMPUTED_VALUE"""),99978.0)</f>
        <v>99978</v>
      </c>
      <c r="C6" s="6">
        <f>IFERROR(__xludf.DUMMYFUNCTION("""COMPUTED_VALUE"""),79982.0)</f>
        <v>79982</v>
      </c>
      <c r="D6" s="6">
        <f>IFERROR(__xludf.DUMMYFUNCTION("""COMPUTED_VALUE"""),19996.0)</f>
        <v>19996</v>
      </c>
      <c r="E6" s="7">
        <f>IFERROR(__xludf.DUMMYFUNCTION("""COMPUTED_VALUE"""),0.20000400088019366)</f>
        <v>0.2000040009</v>
      </c>
      <c r="F6" s="6">
        <f>IFERROR(__xludf.DUMMYFUNCTION("""COMPUTED_VALUE"""),7766.0)</f>
        <v>7766</v>
      </c>
      <c r="G6" s="6">
        <f>IFERROR(__xludf.DUMMYFUNCTION("""COMPUTED_VALUE"""),7766.0)</f>
        <v>7766</v>
      </c>
      <c r="H6" s="6">
        <f>IFERROR(__xludf.DUMMYFUNCTION("""COMPUTED_VALUE"""),0.0)</f>
        <v>0</v>
      </c>
      <c r="I6" s="5" t="str">
        <f>IFERROR(__xludf.DUMMYFUNCTION("""COMPUTED_VALUE"""),"EXCEPTION")</f>
        <v>EXCEPTION</v>
      </c>
      <c r="J6" s="5" t="str">
        <f>IFERROR(__xludf.DUMMYFUNCTION("""COMPUTED_VALUE"""),"Prepayment")</f>
        <v>Prepayment</v>
      </c>
      <c r="K6" s="5" t="str">
        <f t="shared" si="1"/>
        <v>Update schedule, recalculate interest</v>
      </c>
      <c r="L6" s="5" t="str">
        <f>VLOOKUP(A6,LMS_Loan_Tape!A:Z,7,FALSE)</f>
        <v>DMI</v>
      </c>
      <c r="M6" s="6">
        <f t="shared" si="2"/>
        <v>19996</v>
      </c>
      <c r="N6" s="5" t="str">
        <f>VLOOKUP(A6,LMS_Loan_Tape!A:Z,6,FALSE)</f>
        <v>Gold Loan</v>
      </c>
      <c r="O6" s="5">
        <f>VLOOKUP(A6, LMS_Loan_Tape!A5:Z1004,11,false)</f>
        <v>3</v>
      </c>
      <c r="P6" s="15" t="s">
        <v>335</v>
      </c>
      <c r="Q6" s="16">
        <f>COUNTIF(J:J,"Waiver Applied")</f>
        <v>9</v>
      </c>
      <c r="R6" s="17">
        <f>SUMIF(J:J,"Waiver Applied",D:D)+SUMIF(J:J,"Waiver Applied",H:H)</f>
        <v>162015</v>
      </c>
    </row>
    <row r="7">
      <c r="A7" s="5" t="str">
        <f>IFERROR(__xludf.DUMMYFUNCTION("""COMPUTED_VALUE"""),"LN-10015")</f>
        <v>LN-10015</v>
      </c>
      <c r="B7" s="6">
        <f>IFERROR(__xludf.DUMMYFUNCTION("""COMPUTED_VALUE"""),214052.0)</f>
        <v>214052</v>
      </c>
      <c r="C7" s="6">
        <f>IFERROR(__xludf.DUMMYFUNCTION("""COMPUTED_VALUE"""),214052.0)</f>
        <v>214052</v>
      </c>
      <c r="D7" s="6">
        <f>IFERROR(__xludf.DUMMYFUNCTION("""COMPUTED_VALUE"""),0.0)</f>
        <v>0</v>
      </c>
      <c r="E7" s="7">
        <f>IFERROR(__xludf.DUMMYFUNCTION("""COMPUTED_VALUE"""),0.0)</f>
        <v>0</v>
      </c>
      <c r="F7" s="6">
        <f>IFERROR(__xludf.DUMMYFUNCTION("""COMPUTED_VALUE"""),18188.0)</f>
        <v>18188</v>
      </c>
      <c r="G7" s="6">
        <f>IFERROR(__xludf.DUMMYFUNCTION("""COMPUTED_VALUE"""),18006.0)</f>
        <v>18006</v>
      </c>
      <c r="H7" s="6">
        <f>IFERROR(__xludf.DUMMYFUNCTION("""COMPUTED_VALUE"""),182.0)</f>
        <v>182</v>
      </c>
      <c r="I7" s="5" t="str">
        <f>IFERROR(__xludf.DUMMYFUNCTION("""COMPUTED_VALUE"""),"EXCEPTION")</f>
        <v>EXCEPTION</v>
      </c>
      <c r="J7" s="5"/>
      <c r="K7" s="5" t="str">
        <f t="shared" si="1"/>
        <v/>
      </c>
      <c r="L7" s="5" t="str">
        <f>VLOOKUP(A7,LMS_Loan_Tape!A:Z,7,FALSE)</f>
        <v>Piramal</v>
      </c>
      <c r="M7" s="6">
        <f t="shared" si="2"/>
        <v>182</v>
      </c>
      <c r="N7" s="5" t="str">
        <f>VLOOKUP(A7,LMS_Loan_Tape!A:Z,6,FALSE)</f>
        <v>Gold Loan</v>
      </c>
      <c r="O7" s="5">
        <f>VLOOKUP(A7, LMS_Loan_Tape!A6:Z1005,11,false)</f>
        <v>4</v>
      </c>
    </row>
    <row r="8">
      <c r="A8" s="5" t="str">
        <f>IFERROR(__xludf.DUMMYFUNCTION("""COMPUTED_VALUE"""),"LN-10018")</f>
        <v>LN-10018</v>
      </c>
      <c r="B8" s="6">
        <f>IFERROR(__xludf.DUMMYFUNCTION("""COMPUTED_VALUE"""),250333.0)</f>
        <v>250333</v>
      </c>
      <c r="C8" s="6">
        <f>IFERROR(__xludf.DUMMYFUNCTION("""COMPUTED_VALUE"""),245326.0)</f>
        <v>245326</v>
      </c>
      <c r="D8" s="6">
        <f>IFERROR(__xludf.DUMMYFUNCTION("""COMPUTED_VALUE"""),5007.0)</f>
        <v>5007</v>
      </c>
      <c r="E8" s="7">
        <f>IFERROR(__xludf.DUMMYFUNCTION("""COMPUTED_VALUE"""),0.020001358190889735)</f>
        <v>0.02000135819</v>
      </c>
      <c r="F8" s="6">
        <f>IFERROR(__xludf.DUMMYFUNCTION("""COMPUTED_VALUE"""),28741.0)</f>
        <v>28741</v>
      </c>
      <c r="G8" s="6">
        <f>IFERROR(__xludf.DUMMYFUNCTION("""COMPUTED_VALUE"""),28741.0)</f>
        <v>28741</v>
      </c>
      <c r="H8" s="6">
        <f>IFERROR(__xludf.DUMMYFUNCTION("""COMPUTED_VALUE"""),0.0)</f>
        <v>0</v>
      </c>
      <c r="I8" s="5" t="str">
        <f>IFERROR(__xludf.DUMMYFUNCTION("""COMPUTED_VALUE"""),"EXCEPTION")</f>
        <v>EXCEPTION</v>
      </c>
      <c r="J8" s="5"/>
      <c r="K8" s="5" t="str">
        <f t="shared" si="1"/>
        <v/>
      </c>
      <c r="L8" s="5" t="str">
        <f>VLOOKUP(A8,LMS_Loan_Tape!A:Z,7,FALSE)</f>
        <v>Northern Arc</v>
      </c>
      <c r="M8" s="6">
        <f t="shared" si="2"/>
        <v>5007</v>
      </c>
      <c r="N8" s="5" t="str">
        <f>VLOOKUP(A8,LMS_Loan_Tape!A:Z,6,FALSE)</f>
        <v>Personal Loan</v>
      </c>
      <c r="O8" s="5">
        <f>VLOOKUP(A8, LMS_Loan_Tape!A7:Z1006,11,false)</f>
        <v>5</v>
      </c>
    </row>
    <row r="9">
      <c r="A9" s="5" t="str">
        <f>IFERROR(__xludf.DUMMYFUNCTION("""COMPUTED_VALUE"""),"LN-10026")</f>
        <v>LN-10026</v>
      </c>
      <c r="B9" s="6">
        <f>IFERROR(__xludf.DUMMYFUNCTION("""COMPUTED_VALUE"""),95442.0)</f>
        <v>95442</v>
      </c>
      <c r="C9" s="6">
        <f>IFERROR(__xludf.DUMMYFUNCTION("""COMPUTED_VALUE"""),100214.0)</f>
        <v>100214</v>
      </c>
      <c r="D9" s="6">
        <f>IFERROR(__xludf.DUMMYFUNCTION("""COMPUTED_VALUE"""),-4772.0)</f>
        <v>-4772</v>
      </c>
      <c r="E9" s="7">
        <f>IFERROR(__xludf.DUMMYFUNCTION("""COMPUTED_VALUE"""),-0.049998952243247206)</f>
        <v>-0.04999895224</v>
      </c>
      <c r="F9" s="6">
        <f>IFERROR(__xludf.DUMMYFUNCTION("""COMPUTED_VALUE"""),46122.0)</f>
        <v>46122</v>
      </c>
      <c r="G9" s="6">
        <f>IFERROR(__xludf.DUMMYFUNCTION("""COMPUTED_VALUE"""),46122.0)</f>
        <v>46122</v>
      </c>
      <c r="H9" s="6">
        <f>IFERROR(__xludf.DUMMYFUNCTION("""COMPUTED_VALUE"""),0.0)</f>
        <v>0</v>
      </c>
      <c r="I9" s="5" t="str">
        <f>IFERROR(__xludf.DUMMYFUNCTION("""COMPUTED_VALUE"""),"EXCEPTION")</f>
        <v>EXCEPTION</v>
      </c>
      <c r="J9" s="5" t="str">
        <f>IFERROR(__xludf.DUMMYFUNCTION("""COMPUTED_VALUE"""),"Rate Change")</f>
        <v>Rate Change</v>
      </c>
      <c r="K9" s="5" t="str">
        <f t="shared" si="1"/>
        <v>Update loan agreement</v>
      </c>
      <c r="L9" s="5" t="str">
        <f>VLOOKUP(A9,LMS_Loan_Tape!A:Z,7,FALSE)</f>
        <v>DMI</v>
      </c>
      <c r="M9" s="6">
        <f t="shared" si="2"/>
        <v>-4772</v>
      </c>
      <c r="N9" s="5" t="str">
        <f>VLOOKUP(A9,LMS_Loan_Tape!A:Z,6,FALSE)</f>
        <v>Gold Loan</v>
      </c>
      <c r="O9" s="5">
        <f>VLOOKUP(A9, LMS_Loan_Tape!A8:Z1007,11,false)</f>
        <v>1</v>
      </c>
    </row>
    <row r="10">
      <c r="A10" s="5" t="str">
        <f>IFERROR(__xludf.DUMMYFUNCTION("""COMPUTED_VALUE"""),"LN-10027")</f>
        <v>LN-10027</v>
      </c>
      <c r="B10" s="6">
        <f>IFERROR(__xludf.DUMMYFUNCTION("""COMPUTED_VALUE"""),47945.0)</f>
        <v>47945</v>
      </c>
      <c r="C10" s="6">
        <f>IFERROR(__xludf.DUMMYFUNCTION("""COMPUTED_VALUE"""),28767.0)</f>
        <v>28767</v>
      </c>
      <c r="D10" s="6">
        <f>IFERROR(__xludf.DUMMYFUNCTION("""COMPUTED_VALUE"""),19178.0)</f>
        <v>19178</v>
      </c>
      <c r="E10" s="7">
        <f>IFERROR(__xludf.DUMMYFUNCTION("""COMPUTED_VALUE"""),0.4)</f>
        <v>0.4</v>
      </c>
      <c r="F10" s="6">
        <f>IFERROR(__xludf.DUMMYFUNCTION("""COMPUTED_VALUE"""),23778.0)</f>
        <v>23778</v>
      </c>
      <c r="G10" s="6">
        <f>IFERROR(__xludf.DUMMYFUNCTION("""COMPUTED_VALUE"""),23778.0)</f>
        <v>23778</v>
      </c>
      <c r="H10" s="6">
        <f>IFERROR(__xludf.DUMMYFUNCTION("""COMPUTED_VALUE"""),0.0)</f>
        <v>0</v>
      </c>
      <c r="I10" s="5" t="str">
        <f>IFERROR(__xludf.DUMMYFUNCTION("""COMPUTED_VALUE"""),"EXCEPTION")</f>
        <v>EXCEPTION</v>
      </c>
      <c r="J10" s="5" t="str">
        <f>IFERROR(__xludf.DUMMYFUNCTION("""COMPUTED_VALUE"""),"Partial Payment")</f>
        <v>Partial Payment</v>
      </c>
      <c r="K10" s="5" t="str">
        <f t="shared" si="1"/>
        <v>Contact customer for balance</v>
      </c>
      <c r="L10" s="5" t="str">
        <f>VLOOKUP(A10,LMS_Loan_Tape!A:Z,7,FALSE)</f>
        <v>Piramal</v>
      </c>
      <c r="M10" s="6">
        <f t="shared" si="2"/>
        <v>19178</v>
      </c>
      <c r="N10" s="5" t="str">
        <f>VLOOKUP(A10,LMS_Loan_Tape!A:Z,6,FALSE)</f>
        <v>Business Loan</v>
      </c>
      <c r="O10" s="5">
        <f>VLOOKUP(A10, LMS_Loan_Tape!A9:Z1008,11,false)</f>
        <v>2</v>
      </c>
    </row>
    <row r="11">
      <c r="A11" s="5" t="str">
        <f>IFERROR(__xludf.DUMMYFUNCTION("""COMPUTED_VALUE"""),"LN-10033")</f>
        <v>LN-10033</v>
      </c>
      <c r="B11" s="6">
        <f>IFERROR(__xludf.DUMMYFUNCTION("""COMPUTED_VALUE"""),52973.0)</f>
        <v>52973</v>
      </c>
      <c r="C11" s="6">
        <f>IFERROR(__xludf.DUMMYFUNCTION("""COMPUTED_VALUE"""),53324.0)</f>
        <v>53324</v>
      </c>
      <c r="D11" s="6">
        <f>IFERROR(__xludf.DUMMYFUNCTION("""COMPUTED_VALUE"""),-351.0)</f>
        <v>-351</v>
      </c>
      <c r="E11" s="7">
        <f>IFERROR(__xludf.DUMMYFUNCTION("""COMPUTED_VALUE"""),-0.006626017027542333)</f>
        <v>-0.006626017028</v>
      </c>
      <c r="F11" s="6">
        <f>IFERROR(__xludf.DUMMYFUNCTION("""COMPUTED_VALUE"""),7560.0)</f>
        <v>7560</v>
      </c>
      <c r="G11" s="6">
        <f>IFERROR(__xludf.DUMMYFUNCTION("""COMPUTED_VALUE"""),7560.0)</f>
        <v>7560</v>
      </c>
      <c r="H11" s="6">
        <f>IFERROR(__xludf.DUMMYFUNCTION("""COMPUTED_VALUE"""),0.0)</f>
        <v>0</v>
      </c>
      <c r="I11" s="5" t="str">
        <f>IFERROR(__xludf.DUMMYFUNCTION("""COMPUTED_VALUE"""),"EXCEPTION")</f>
        <v>EXCEPTION</v>
      </c>
      <c r="J11" s="5" t="str">
        <f>IFERROR(__xludf.DUMMYFUNCTION("""COMPUTED_VALUE"""),"System Error")</f>
        <v>System Error</v>
      </c>
      <c r="K11" s="5" t="str">
        <f t="shared" si="1"/>
        <v>Escalate to tech team</v>
      </c>
      <c r="L11" s="5" t="str">
        <f>VLOOKUP(A11,LMS_Loan_Tape!A:Z,7,FALSE)</f>
        <v>DMI</v>
      </c>
      <c r="M11" s="6">
        <f t="shared" si="2"/>
        <v>-351</v>
      </c>
      <c r="N11" s="5" t="str">
        <f>VLOOKUP(A11,LMS_Loan_Tape!A:Z,6,FALSE)</f>
        <v>Home Loan</v>
      </c>
      <c r="O11" s="5">
        <f>VLOOKUP(A11, LMS_Loan_Tape!A10:Z1009,11,false)</f>
        <v>4</v>
      </c>
    </row>
    <row r="12">
      <c r="A12" s="5" t="str">
        <f>IFERROR(__xludf.DUMMYFUNCTION("""COMPUTED_VALUE"""),"LN-10037")</f>
        <v>LN-10037</v>
      </c>
      <c r="B12" s="6">
        <f>IFERROR(__xludf.DUMMYFUNCTION("""COMPUTED_VALUE"""),5410.0)</f>
        <v>5410</v>
      </c>
      <c r="C12" s="6">
        <f>IFERROR(__xludf.DUMMYFUNCTION("""COMPUTED_VALUE"""),5410.0)</f>
        <v>5410</v>
      </c>
      <c r="D12" s="6">
        <f>IFERROR(__xludf.DUMMYFUNCTION("""COMPUTED_VALUE"""),0.0)</f>
        <v>0</v>
      </c>
      <c r="E12" s="7">
        <f>IFERROR(__xludf.DUMMYFUNCTION("""COMPUTED_VALUE"""),0.0)</f>
        <v>0</v>
      </c>
      <c r="F12" s="6">
        <f>IFERROR(__xludf.DUMMYFUNCTION("""COMPUTED_VALUE"""),3526.0)</f>
        <v>3526</v>
      </c>
      <c r="G12" s="6">
        <f>IFERROR(__xludf.DUMMYFUNCTION("""COMPUTED_VALUE"""),3490.0)</f>
        <v>3490</v>
      </c>
      <c r="H12" s="6">
        <f>IFERROR(__xludf.DUMMYFUNCTION("""COMPUTED_VALUE"""),36.0)</f>
        <v>36</v>
      </c>
      <c r="I12" s="5" t="str">
        <f>IFERROR(__xludf.DUMMYFUNCTION("""COMPUTED_VALUE"""),"EXCEPTION")</f>
        <v>EXCEPTION</v>
      </c>
      <c r="J12" s="5"/>
      <c r="K12" s="5" t="str">
        <f t="shared" si="1"/>
        <v/>
      </c>
      <c r="L12" s="5" t="str">
        <f>VLOOKUP(A12,LMS_Loan_Tape!A:Z,7,FALSE)</f>
        <v>Piramal</v>
      </c>
      <c r="M12" s="6">
        <f t="shared" si="2"/>
        <v>36</v>
      </c>
      <c r="N12" s="5" t="str">
        <f>VLOOKUP(A12,LMS_Loan_Tape!A:Z,6,FALSE)</f>
        <v>Personal Loan</v>
      </c>
      <c r="O12" s="5">
        <f>VLOOKUP(A12, LMS_Loan_Tape!A11:Z1010,11,false)</f>
        <v>3</v>
      </c>
    </row>
    <row r="13">
      <c r="A13" s="5" t="str">
        <f>IFERROR(__xludf.DUMMYFUNCTION("""COMPUTED_VALUE"""),"LN-10040")</f>
        <v>LN-10040</v>
      </c>
      <c r="B13" s="6">
        <f>IFERROR(__xludf.DUMMYFUNCTION("""COMPUTED_VALUE"""),36428.0)</f>
        <v>36428</v>
      </c>
      <c r="C13" s="6">
        <f>IFERROR(__xludf.DUMMYFUNCTION("""COMPUTED_VALUE"""),37193.0)</f>
        <v>37193</v>
      </c>
      <c r="D13" s="6">
        <f>IFERROR(__xludf.DUMMYFUNCTION("""COMPUTED_VALUE"""),-765.0)</f>
        <v>-765</v>
      </c>
      <c r="E13" s="7">
        <f>IFERROR(__xludf.DUMMYFUNCTION("""COMPUTED_VALUE"""),-0.02100032941693203)</f>
        <v>-0.02100032942</v>
      </c>
      <c r="F13" s="6">
        <f>IFERROR(__xludf.DUMMYFUNCTION("""COMPUTED_VALUE"""),45169.0)</f>
        <v>45169</v>
      </c>
      <c r="G13" s="6">
        <f>IFERROR(__xludf.DUMMYFUNCTION("""COMPUTED_VALUE"""),45169.0)</f>
        <v>45169</v>
      </c>
      <c r="H13" s="6">
        <f>IFERROR(__xludf.DUMMYFUNCTION("""COMPUTED_VALUE"""),0.0)</f>
        <v>0</v>
      </c>
      <c r="I13" s="5" t="str">
        <f>IFERROR(__xludf.DUMMYFUNCTION("""COMPUTED_VALUE"""),"EXCEPTION")</f>
        <v>EXCEPTION</v>
      </c>
      <c r="J13" s="5" t="str">
        <f>IFERROR(__xludf.DUMMYFUNCTION("""COMPUTED_VALUE"""),"System Error")</f>
        <v>System Error</v>
      </c>
      <c r="K13" s="5" t="str">
        <f t="shared" si="1"/>
        <v>Escalate to tech team</v>
      </c>
      <c r="L13" s="5" t="str">
        <f>VLOOKUP(A13,LMS_Loan_Tape!A:Z,7,FALSE)</f>
        <v>DMI</v>
      </c>
      <c r="M13" s="6">
        <f t="shared" si="2"/>
        <v>-765</v>
      </c>
      <c r="N13" s="5" t="str">
        <f>VLOOKUP(A13,LMS_Loan_Tape!A:Z,6,FALSE)</f>
        <v>Personal Loan</v>
      </c>
      <c r="O13" s="5">
        <f>VLOOKUP(A13, LMS_Loan_Tape!A12:Z1011,11,false)</f>
        <v>3</v>
      </c>
    </row>
    <row r="14">
      <c r="A14" s="5" t="str">
        <f>IFERROR(__xludf.DUMMYFUNCTION("""COMPUTED_VALUE"""),"LN-10044")</f>
        <v>LN-10044</v>
      </c>
      <c r="B14" s="6">
        <f>IFERROR(__xludf.DUMMYFUNCTION("""COMPUTED_VALUE"""),7409.0)</f>
        <v>7409</v>
      </c>
      <c r="C14" s="6">
        <f>IFERROR(__xludf.DUMMYFUNCTION("""COMPUTED_VALUE"""),7409.0)</f>
        <v>7409</v>
      </c>
      <c r="D14" s="6">
        <f>IFERROR(__xludf.DUMMYFUNCTION("""COMPUTED_VALUE"""),0.0)</f>
        <v>0</v>
      </c>
      <c r="E14" s="7">
        <f>IFERROR(__xludf.DUMMYFUNCTION("""COMPUTED_VALUE"""),0.0)</f>
        <v>0</v>
      </c>
      <c r="F14" s="6">
        <f>IFERROR(__xludf.DUMMYFUNCTION("""COMPUTED_VALUE"""),836.0)</f>
        <v>836</v>
      </c>
      <c r="G14" s="6">
        <f>IFERROR(__xludf.DUMMYFUNCTION("""COMPUTED_VALUE"""),827.0)</f>
        <v>827</v>
      </c>
      <c r="H14" s="6">
        <f>IFERROR(__xludf.DUMMYFUNCTION("""COMPUTED_VALUE"""),9.0)</f>
        <v>9</v>
      </c>
      <c r="I14" s="5" t="str">
        <f>IFERROR(__xludf.DUMMYFUNCTION("""COMPUTED_VALUE"""),"EXCEPTION")</f>
        <v>EXCEPTION</v>
      </c>
      <c r="J14" s="5"/>
      <c r="K14" s="5" t="str">
        <f t="shared" si="1"/>
        <v/>
      </c>
      <c r="L14" s="5" t="str">
        <f>VLOOKUP(A14,LMS_Loan_Tape!A:Z,7,FALSE)</f>
        <v>DMI</v>
      </c>
      <c r="M14" s="6">
        <f t="shared" si="2"/>
        <v>9</v>
      </c>
      <c r="N14" s="5" t="str">
        <f>VLOOKUP(A14,LMS_Loan_Tape!A:Z,6,FALSE)</f>
        <v>Home Loan</v>
      </c>
      <c r="O14" s="5">
        <f>VLOOKUP(A14, LMS_Loan_Tape!A13:Z1012,11,false)</f>
        <v>1</v>
      </c>
    </row>
    <row r="15">
      <c r="A15" s="5" t="str">
        <f>IFERROR(__xludf.DUMMYFUNCTION("""COMPUTED_VALUE"""),"LN-10045")</f>
        <v>LN-10045</v>
      </c>
      <c r="B15" s="6">
        <f>IFERROR(__xludf.DUMMYFUNCTION("""COMPUTED_VALUE"""),131700.0)</f>
        <v>131700</v>
      </c>
      <c r="C15" s="6">
        <f>IFERROR(__xludf.DUMMYFUNCTION("""COMPUTED_VALUE"""),129066.0)</f>
        <v>129066</v>
      </c>
      <c r="D15" s="6">
        <f>IFERROR(__xludf.DUMMYFUNCTION("""COMPUTED_VALUE"""),2634.0)</f>
        <v>2634</v>
      </c>
      <c r="E15" s="7">
        <f>IFERROR(__xludf.DUMMYFUNCTION("""COMPUTED_VALUE"""),0.02)</f>
        <v>0.02</v>
      </c>
      <c r="F15" s="6">
        <f>IFERROR(__xludf.DUMMYFUNCTION("""COMPUTED_VALUE"""),21296.0)</f>
        <v>21296</v>
      </c>
      <c r="G15" s="6">
        <f>IFERROR(__xludf.DUMMYFUNCTION("""COMPUTED_VALUE"""),21296.0)</f>
        <v>21296</v>
      </c>
      <c r="H15" s="6">
        <f>IFERROR(__xludf.DUMMYFUNCTION("""COMPUTED_VALUE"""),0.0)</f>
        <v>0</v>
      </c>
      <c r="I15" s="5" t="str">
        <f>IFERROR(__xludf.DUMMYFUNCTION("""COMPUTED_VALUE"""),"EXCEPTION")</f>
        <v>EXCEPTION</v>
      </c>
      <c r="J15" s="5"/>
      <c r="K15" s="5" t="str">
        <f t="shared" si="1"/>
        <v/>
      </c>
      <c r="L15" s="5" t="str">
        <f>VLOOKUP(A15,LMS_Loan_Tape!A:Z,7,FALSE)</f>
        <v>Piramal</v>
      </c>
      <c r="M15" s="6">
        <f t="shared" si="2"/>
        <v>2634</v>
      </c>
      <c r="N15" s="5" t="str">
        <f>VLOOKUP(A15,LMS_Loan_Tape!A:Z,6,FALSE)</f>
        <v>Home Loan</v>
      </c>
      <c r="O15" s="5">
        <f>VLOOKUP(A15, LMS_Loan_Tape!A14:Z1013,11,false)</f>
        <v>11</v>
      </c>
    </row>
    <row r="16">
      <c r="A16" s="5" t="str">
        <f>IFERROR(__xludf.DUMMYFUNCTION("""COMPUTED_VALUE"""),"LN-10048")</f>
        <v>LN-10048</v>
      </c>
      <c r="B16" s="6">
        <f>IFERROR(__xludf.DUMMYFUNCTION("""COMPUTED_VALUE"""),22297.0)</f>
        <v>22297</v>
      </c>
      <c r="C16" s="6">
        <f>IFERROR(__xludf.DUMMYFUNCTION("""COMPUTED_VALUE"""),22297.0)</f>
        <v>22297</v>
      </c>
      <c r="D16" s="6">
        <f>IFERROR(__xludf.DUMMYFUNCTION("""COMPUTED_VALUE"""),0.0)</f>
        <v>0</v>
      </c>
      <c r="E16" s="7">
        <f>IFERROR(__xludf.DUMMYFUNCTION("""COMPUTED_VALUE"""),0.0)</f>
        <v>0</v>
      </c>
      <c r="F16" s="6">
        <f>IFERROR(__xludf.DUMMYFUNCTION("""COMPUTED_VALUE"""),2929.0)</f>
        <v>2929</v>
      </c>
      <c r="G16" s="6">
        <f>IFERROR(__xludf.DUMMYFUNCTION("""COMPUTED_VALUE"""),2899.0)</f>
        <v>2899</v>
      </c>
      <c r="H16" s="6">
        <f>IFERROR(__xludf.DUMMYFUNCTION("""COMPUTED_VALUE"""),30.0)</f>
        <v>30</v>
      </c>
      <c r="I16" s="5" t="str">
        <f>IFERROR(__xludf.DUMMYFUNCTION("""COMPUTED_VALUE"""),"EXCEPTION")</f>
        <v>EXCEPTION</v>
      </c>
      <c r="J16" s="5"/>
      <c r="K16" s="5" t="str">
        <f t="shared" si="1"/>
        <v/>
      </c>
      <c r="L16" s="5" t="str">
        <f>VLOOKUP(A16,LMS_Loan_Tape!A:Z,7,FALSE)</f>
        <v>DMI</v>
      </c>
      <c r="M16" s="6">
        <f t="shared" si="2"/>
        <v>30</v>
      </c>
      <c r="N16" s="5" t="str">
        <f>VLOOKUP(A16,LMS_Loan_Tape!A:Z,6,FALSE)</f>
        <v>Personal Loan</v>
      </c>
      <c r="O16" s="5">
        <f>VLOOKUP(A16, LMS_Loan_Tape!A15:Z1014,11,false)</f>
        <v>6</v>
      </c>
    </row>
    <row r="17">
      <c r="A17" s="5" t="str">
        <f>IFERROR(__xludf.DUMMYFUNCTION("""COMPUTED_VALUE"""),"LN-10051")</f>
        <v>LN-10051</v>
      </c>
      <c r="B17" s="6">
        <f>IFERROR(__xludf.DUMMYFUNCTION("""COMPUTED_VALUE"""),82659.0)</f>
        <v>82659</v>
      </c>
      <c r="C17" s="6">
        <f>IFERROR(__xludf.DUMMYFUNCTION("""COMPUTED_VALUE"""),82659.0)</f>
        <v>82659</v>
      </c>
      <c r="D17" s="6">
        <f>IFERROR(__xludf.DUMMYFUNCTION("""COMPUTED_VALUE"""),0.0)</f>
        <v>0</v>
      </c>
      <c r="E17" s="7">
        <f>IFERROR(__xludf.DUMMYFUNCTION("""COMPUTED_VALUE"""),0.0)</f>
        <v>0</v>
      </c>
      <c r="F17" s="6">
        <f>IFERROR(__xludf.DUMMYFUNCTION("""COMPUTED_VALUE"""),9574.0)</f>
        <v>9574</v>
      </c>
      <c r="G17" s="6">
        <f>IFERROR(__xludf.DUMMYFUNCTION("""COMPUTED_VALUE"""),9478.0)</f>
        <v>9478</v>
      </c>
      <c r="H17" s="6">
        <f>IFERROR(__xludf.DUMMYFUNCTION("""COMPUTED_VALUE"""),96.0)</f>
        <v>96</v>
      </c>
      <c r="I17" s="5" t="str">
        <f>IFERROR(__xludf.DUMMYFUNCTION("""COMPUTED_VALUE"""),"EXCEPTION")</f>
        <v>EXCEPTION</v>
      </c>
      <c r="J17" s="5"/>
      <c r="K17" s="5" t="str">
        <f t="shared" si="1"/>
        <v/>
      </c>
      <c r="L17" s="5" t="str">
        <f>VLOOKUP(A17,LMS_Loan_Tape!A:Z,7,FALSE)</f>
        <v>Northern Arc</v>
      </c>
      <c r="M17" s="6">
        <f t="shared" si="2"/>
        <v>96</v>
      </c>
      <c r="N17" s="5" t="str">
        <f>VLOOKUP(A17,LMS_Loan_Tape!A:Z,6,FALSE)</f>
        <v>Home Loan</v>
      </c>
      <c r="O17" s="5">
        <f>VLOOKUP(A17, LMS_Loan_Tape!A16:Z1015,11,false)</f>
        <v>8</v>
      </c>
    </row>
    <row r="18">
      <c r="A18" s="5" t="str">
        <f>IFERROR(__xludf.DUMMYFUNCTION("""COMPUTED_VALUE"""),"LN-10056")</f>
        <v>LN-10056</v>
      </c>
      <c r="B18" s="6">
        <f>IFERROR(__xludf.DUMMYFUNCTION("""COMPUTED_VALUE"""),58280.0)</f>
        <v>58280</v>
      </c>
      <c r="C18" s="6">
        <f>IFERROR(__xludf.DUMMYFUNCTION("""COMPUTED_VALUE"""),58280.0)</f>
        <v>58280</v>
      </c>
      <c r="D18" s="6">
        <f>IFERROR(__xludf.DUMMYFUNCTION("""COMPUTED_VALUE"""),0.0)</f>
        <v>0</v>
      </c>
      <c r="E18" s="7">
        <f>IFERROR(__xludf.DUMMYFUNCTION("""COMPUTED_VALUE"""),0.0)</f>
        <v>0</v>
      </c>
      <c r="F18" s="6">
        <f>IFERROR(__xludf.DUMMYFUNCTION("""COMPUTED_VALUE"""),10932.0)</f>
        <v>10932</v>
      </c>
      <c r="G18" s="6">
        <f>IFERROR(__xludf.DUMMYFUNCTION("""COMPUTED_VALUE"""),10822.0)</f>
        <v>10822</v>
      </c>
      <c r="H18" s="6">
        <f>IFERROR(__xludf.DUMMYFUNCTION("""COMPUTED_VALUE"""),110.0)</f>
        <v>110</v>
      </c>
      <c r="I18" s="5" t="str">
        <f>IFERROR(__xludf.DUMMYFUNCTION("""COMPUTED_VALUE"""),"EXCEPTION")</f>
        <v>EXCEPTION</v>
      </c>
      <c r="J18" s="5"/>
      <c r="K18" s="5" t="str">
        <f t="shared" si="1"/>
        <v/>
      </c>
      <c r="L18" s="5" t="str">
        <f>VLOOKUP(A18,LMS_Loan_Tape!A:Z,7,FALSE)</f>
        <v>Liquiloans</v>
      </c>
      <c r="M18" s="6">
        <f t="shared" si="2"/>
        <v>110</v>
      </c>
      <c r="N18" s="5" t="str">
        <f>VLOOKUP(A18,LMS_Loan_Tape!A:Z,6,FALSE)</f>
        <v>Gold Loan</v>
      </c>
      <c r="O18" s="5">
        <f>VLOOKUP(A18, LMS_Loan_Tape!A17:Z1016,11,false)</f>
        <v>10</v>
      </c>
    </row>
    <row r="19">
      <c r="A19" s="5" t="str">
        <f>IFERROR(__xludf.DUMMYFUNCTION("""COMPUTED_VALUE"""),"LN-10062")</f>
        <v>LN-10062</v>
      </c>
      <c r="B19" s="6">
        <f>IFERROR(__xludf.DUMMYFUNCTION("""COMPUTED_VALUE"""),362648.0)</f>
        <v>362648</v>
      </c>
      <c r="C19" s="6">
        <f>IFERROR(__xludf.DUMMYFUNCTION("""COMPUTED_VALUE"""),355395.0)</f>
        <v>355395</v>
      </c>
      <c r="D19" s="6">
        <f>IFERROR(__xludf.DUMMYFUNCTION("""COMPUTED_VALUE"""),7253.0)</f>
        <v>7253</v>
      </c>
      <c r="E19" s="7">
        <f>IFERROR(__xludf.DUMMYFUNCTION("""COMPUTED_VALUE"""),0.020000110299794843)</f>
        <v>0.0200001103</v>
      </c>
      <c r="F19" s="6">
        <f>IFERROR(__xludf.DUMMYFUNCTION("""COMPUTED_VALUE"""),43577.0)</f>
        <v>43577</v>
      </c>
      <c r="G19" s="6">
        <f>IFERROR(__xludf.DUMMYFUNCTION("""COMPUTED_VALUE"""),43577.0)</f>
        <v>43577</v>
      </c>
      <c r="H19" s="6">
        <f>IFERROR(__xludf.DUMMYFUNCTION("""COMPUTED_VALUE"""),0.0)</f>
        <v>0</v>
      </c>
      <c r="I19" s="5" t="str">
        <f>IFERROR(__xludf.DUMMYFUNCTION("""COMPUTED_VALUE"""),"EXCEPTION")</f>
        <v>EXCEPTION</v>
      </c>
      <c r="J19" s="5"/>
      <c r="K19" s="5" t="str">
        <f t="shared" si="1"/>
        <v/>
      </c>
      <c r="L19" s="5" t="str">
        <f>VLOOKUP(A19,LMS_Loan_Tape!A:Z,7,FALSE)</f>
        <v>Liquiloans</v>
      </c>
      <c r="M19" s="6">
        <f t="shared" si="2"/>
        <v>7253</v>
      </c>
      <c r="N19" s="5" t="str">
        <f>VLOOKUP(A19,LMS_Loan_Tape!A:Z,6,FALSE)</f>
        <v>Business Loan</v>
      </c>
      <c r="O19" s="5">
        <f>VLOOKUP(A19, LMS_Loan_Tape!A18:Z1017,11,false)</f>
        <v>1</v>
      </c>
    </row>
    <row r="20">
      <c r="A20" s="5" t="str">
        <f>IFERROR(__xludf.DUMMYFUNCTION("""COMPUTED_VALUE"""),"LN-10069")</f>
        <v>LN-10069</v>
      </c>
      <c r="B20" s="6">
        <f>IFERROR(__xludf.DUMMYFUNCTION("""COMPUTED_VALUE"""),109536.0)</f>
        <v>109536</v>
      </c>
      <c r="C20" s="6">
        <f>IFERROR(__xludf.DUMMYFUNCTION("""COMPUTED_VALUE"""),110210.0)</f>
        <v>110210</v>
      </c>
      <c r="D20" s="6">
        <f>IFERROR(__xludf.DUMMYFUNCTION("""COMPUTED_VALUE"""),-674.0)</f>
        <v>-674</v>
      </c>
      <c r="E20" s="7">
        <f>IFERROR(__xludf.DUMMYFUNCTION("""COMPUTED_VALUE"""),-0.006153228162430616)</f>
        <v>-0.006153228162</v>
      </c>
      <c r="F20" s="6">
        <f>IFERROR(__xludf.DUMMYFUNCTION("""COMPUTED_VALUE"""),25724.0)</f>
        <v>25724</v>
      </c>
      <c r="G20" s="6">
        <f>IFERROR(__xludf.DUMMYFUNCTION("""COMPUTED_VALUE"""),25724.0)</f>
        <v>25724</v>
      </c>
      <c r="H20" s="6">
        <f>IFERROR(__xludf.DUMMYFUNCTION("""COMPUTED_VALUE"""),0.0)</f>
        <v>0</v>
      </c>
      <c r="I20" s="5" t="str">
        <f>IFERROR(__xludf.DUMMYFUNCTION("""COMPUTED_VALUE"""),"EXCEPTION")</f>
        <v>EXCEPTION</v>
      </c>
      <c r="J20" s="5" t="str">
        <f>IFERROR(__xludf.DUMMYFUNCTION("""COMPUTED_VALUE"""),"System Error")</f>
        <v>System Error</v>
      </c>
      <c r="K20" s="5" t="str">
        <f t="shared" si="1"/>
        <v>Escalate to tech team</v>
      </c>
      <c r="L20" s="5" t="str">
        <f>VLOOKUP(A20,LMS_Loan_Tape!A:Z,7,FALSE)</f>
        <v>DMI</v>
      </c>
      <c r="M20" s="6">
        <f t="shared" si="2"/>
        <v>-674</v>
      </c>
      <c r="N20" s="5" t="str">
        <f>VLOOKUP(A20,LMS_Loan_Tape!A:Z,6,FALSE)</f>
        <v>Home Loan</v>
      </c>
      <c r="O20" s="5">
        <f>VLOOKUP(A20, LMS_Loan_Tape!A19:Z1018,11,false)</f>
        <v>7</v>
      </c>
    </row>
    <row r="21">
      <c r="A21" s="5" t="str">
        <f>IFERROR(__xludf.DUMMYFUNCTION("""COMPUTED_VALUE"""),"LN-10075")</f>
        <v>LN-10075</v>
      </c>
      <c r="B21" s="6">
        <f>IFERROR(__xludf.DUMMYFUNCTION("""COMPUTED_VALUE"""),88094.0)</f>
        <v>88094</v>
      </c>
      <c r="C21" s="6">
        <f>IFERROR(__xludf.DUMMYFUNCTION("""COMPUTED_VALUE"""),92498.0)</f>
        <v>92498</v>
      </c>
      <c r="D21" s="6">
        <f>IFERROR(__xludf.DUMMYFUNCTION("""COMPUTED_VALUE"""),-4404.0)</f>
        <v>-4404</v>
      </c>
      <c r="E21" s="7">
        <f>IFERROR(__xludf.DUMMYFUNCTION("""COMPUTED_VALUE"""),-0.04999205394237973)</f>
        <v>-0.04999205394</v>
      </c>
      <c r="F21" s="6">
        <f>IFERROR(__xludf.DUMMYFUNCTION("""COMPUTED_VALUE"""),24407.0)</f>
        <v>24407</v>
      </c>
      <c r="G21" s="6">
        <f>IFERROR(__xludf.DUMMYFUNCTION("""COMPUTED_VALUE"""),24407.0)</f>
        <v>24407</v>
      </c>
      <c r="H21" s="6">
        <f>IFERROR(__xludf.DUMMYFUNCTION("""COMPUTED_VALUE"""),0.0)</f>
        <v>0</v>
      </c>
      <c r="I21" s="5" t="str">
        <f>IFERROR(__xludf.DUMMYFUNCTION("""COMPUTED_VALUE"""),"EXCEPTION")</f>
        <v>EXCEPTION</v>
      </c>
      <c r="J21" s="5" t="str">
        <f>IFERROR(__xludf.DUMMYFUNCTION("""COMPUTED_VALUE"""),"Rate Change")</f>
        <v>Rate Change</v>
      </c>
      <c r="K21" s="5" t="str">
        <f t="shared" si="1"/>
        <v>Update loan agreement</v>
      </c>
      <c r="L21" s="5" t="str">
        <f>VLOOKUP(A21,LMS_Loan_Tape!A:Z,7,FALSE)</f>
        <v>Tata Capital</v>
      </c>
      <c r="M21" s="6">
        <f t="shared" si="2"/>
        <v>-4404</v>
      </c>
      <c r="N21" s="5" t="str">
        <f>VLOOKUP(A21,LMS_Loan_Tape!A:Z,6,FALSE)</f>
        <v>Gold Loan</v>
      </c>
      <c r="O21" s="5">
        <f>VLOOKUP(A21, LMS_Loan_Tape!A20:Z1019,11,false)</f>
        <v>10</v>
      </c>
    </row>
    <row r="22">
      <c r="A22" s="5" t="str">
        <f>IFERROR(__xludf.DUMMYFUNCTION("""COMPUTED_VALUE"""),"LN-10076")</f>
        <v>LN-10076</v>
      </c>
      <c r="B22" s="6">
        <f>IFERROR(__xludf.DUMMYFUNCTION("""COMPUTED_VALUE"""),41646.0)</f>
        <v>41646</v>
      </c>
      <c r="C22" s="6">
        <f>IFERROR(__xludf.DUMMYFUNCTION("""COMPUTED_VALUE"""),43728.0)</f>
        <v>43728</v>
      </c>
      <c r="D22" s="6">
        <f>IFERROR(__xludf.DUMMYFUNCTION("""COMPUTED_VALUE"""),-2082.0)</f>
        <v>-2082</v>
      </c>
      <c r="E22" s="7">
        <f>IFERROR(__xludf.DUMMYFUNCTION("""COMPUTED_VALUE"""),-0.04999279642702781)</f>
        <v>-0.04999279643</v>
      </c>
      <c r="F22" s="6">
        <f>IFERROR(__xludf.DUMMYFUNCTION("""COMPUTED_VALUE"""),29276.0)</f>
        <v>29276</v>
      </c>
      <c r="G22" s="6">
        <f>IFERROR(__xludf.DUMMYFUNCTION("""COMPUTED_VALUE"""),29276.0)</f>
        <v>29276</v>
      </c>
      <c r="H22" s="6">
        <f>IFERROR(__xludf.DUMMYFUNCTION("""COMPUTED_VALUE"""),0.0)</f>
        <v>0</v>
      </c>
      <c r="I22" s="5" t="str">
        <f>IFERROR(__xludf.DUMMYFUNCTION("""COMPUTED_VALUE"""),"EXCEPTION")</f>
        <v>EXCEPTION</v>
      </c>
      <c r="J22" s="5" t="str">
        <f>IFERROR(__xludf.DUMMYFUNCTION("""COMPUTED_VALUE"""),"Rate Change")</f>
        <v>Rate Change</v>
      </c>
      <c r="K22" s="5" t="str">
        <f t="shared" si="1"/>
        <v>Update loan agreement</v>
      </c>
      <c r="L22" s="5" t="str">
        <f>VLOOKUP(A22,LMS_Loan_Tape!A:Z,7,FALSE)</f>
        <v>Tata Capital</v>
      </c>
      <c r="M22" s="6">
        <f t="shared" si="2"/>
        <v>-2082</v>
      </c>
      <c r="N22" s="5" t="str">
        <f>VLOOKUP(A22,LMS_Loan_Tape!A:Z,6,FALSE)</f>
        <v>Home Loan</v>
      </c>
      <c r="O22" s="5">
        <f>VLOOKUP(A22, LMS_Loan_Tape!A21:Z1020,11,false)</f>
        <v>2</v>
      </c>
    </row>
    <row r="23">
      <c r="A23" s="5" t="str">
        <f>IFERROR(__xludf.DUMMYFUNCTION("""COMPUTED_VALUE"""),"LN-10081")</f>
        <v>LN-10081</v>
      </c>
      <c r="B23" s="6">
        <f>IFERROR(__xludf.DUMMYFUNCTION("""COMPUTED_VALUE"""),291821.0)</f>
        <v>291821</v>
      </c>
      <c r="C23" s="6">
        <f>IFERROR(__xludf.DUMMYFUNCTION("""COMPUTED_VALUE"""),291821.0)</f>
        <v>291821</v>
      </c>
      <c r="D23" s="6">
        <f>IFERROR(__xludf.DUMMYFUNCTION("""COMPUTED_VALUE"""),0.0)</f>
        <v>0</v>
      </c>
      <c r="E23" s="7">
        <f>IFERROR(__xludf.DUMMYFUNCTION("""COMPUTED_VALUE"""),0.0)</f>
        <v>0</v>
      </c>
      <c r="F23" s="6">
        <f>IFERROR(__xludf.DUMMYFUNCTION("""COMPUTED_VALUE"""),36865.0)</f>
        <v>36865</v>
      </c>
      <c r="G23" s="6">
        <f>IFERROR(__xludf.DUMMYFUNCTION("""COMPUTED_VALUE"""),36496.0)</f>
        <v>36496</v>
      </c>
      <c r="H23" s="6">
        <f>IFERROR(__xludf.DUMMYFUNCTION("""COMPUTED_VALUE"""),369.0)</f>
        <v>369</v>
      </c>
      <c r="I23" s="5" t="str">
        <f>IFERROR(__xludf.DUMMYFUNCTION("""COMPUTED_VALUE"""),"EXCEPTION")</f>
        <v>EXCEPTION</v>
      </c>
      <c r="J23" s="5"/>
      <c r="K23" s="5" t="str">
        <f t="shared" si="1"/>
        <v/>
      </c>
      <c r="L23" s="5" t="str">
        <f>VLOOKUP(A23,LMS_Loan_Tape!A:Z,7,FALSE)</f>
        <v>Piramal</v>
      </c>
      <c r="M23" s="6">
        <f t="shared" si="2"/>
        <v>369</v>
      </c>
      <c r="N23" s="5" t="str">
        <f>VLOOKUP(A23,LMS_Loan_Tape!A:Z,6,FALSE)</f>
        <v>Personal Loan</v>
      </c>
      <c r="O23" s="5">
        <f>VLOOKUP(A23, LMS_Loan_Tape!A22:Z1021,11,false)</f>
        <v>7</v>
      </c>
    </row>
    <row r="24">
      <c r="A24" s="5" t="str">
        <f>IFERROR(__xludf.DUMMYFUNCTION("""COMPUTED_VALUE"""),"LN-10082")</f>
        <v>LN-10082</v>
      </c>
      <c r="B24" s="6">
        <f>IFERROR(__xludf.DUMMYFUNCTION("""COMPUTED_VALUE"""),296219.0)</f>
        <v>296219</v>
      </c>
      <c r="C24" s="6">
        <f>IFERROR(__xludf.DUMMYFUNCTION("""COMPUTED_VALUE"""),290294.0)</f>
        <v>290294</v>
      </c>
      <c r="D24" s="6">
        <f>IFERROR(__xludf.DUMMYFUNCTION("""COMPUTED_VALUE"""),5925.0)</f>
        <v>5925</v>
      </c>
      <c r="E24" s="7">
        <f>IFERROR(__xludf.DUMMYFUNCTION("""COMPUTED_VALUE"""),0.02000209304602338)</f>
        <v>0.02000209305</v>
      </c>
      <c r="F24" s="6">
        <f>IFERROR(__xludf.DUMMYFUNCTION("""COMPUTED_VALUE"""),32049.0)</f>
        <v>32049</v>
      </c>
      <c r="G24" s="6">
        <f>IFERROR(__xludf.DUMMYFUNCTION("""COMPUTED_VALUE"""),32049.0)</f>
        <v>32049</v>
      </c>
      <c r="H24" s="6">
        <f>IFERROR(__xludf.DUMMYFUNCTION("""COMPUTED_VALUE"""),0.0)</f>
        <v>0</v>
      </c>
      <c r="I24" s="5" t="str">
        <f>IFERROR(__xludf.DUMMYFUNCTION("""COMPUTED_VALUE"""),"EXCEPTION")</f>
        <v>EXCEPTION</v>
      </c>
      <c r="J24" s="5"/>
      <c r="K24" s="5" t="str">
        <f t="shared" si="1"/>
        <v/>
      </c>
      <c r="L24" s="5" t="str">
        <f>VLOOKUP(A24,LMS_Loan_Tape!A:Z,7,FALSE)</f>
        <v>Northern Arc</v>
      </c>
      <c r="M24" s="6">
        <f t="shared" si="2"/>
        <v>5925</v>
      </c>
      <c r="N24" s="5" t="str">
        <f>VLOOKUP(A24,LMS_Loan_Tape!A:Z,6,FALSE)</f>
        <v>Gold Loan</v>
      </c>
      <c r="O24" s="5">
        <f>VLOOKUP(A24, LMS_Loan_Tape!A23:Z1022,11,false)</f>
        <v>7</v>
      </c>
    </row>
    <row r="25">
      <c r="A25" s="5" t="str">
        <f>IFERROR(__xludf.DUMMYFUNCTION("""COMPUTED_VALUE"""),"LN-10085")</f>
        <v>LN-10085</v>
      </c>
      <c r="B25" s="6">
        <f>IFERROR(__xludf.DUMMYFUNCTION("""COMPUTED_VALUE"""),112602.0)</f>
        <v>112602</v>
      </c>
      <c r="C25" s="6">
        <f>IFERROR(__xludf.DUMMYFUNCTION("""COMPUTED_VALUE"""),67561.0)</f>
        <v>67561</v>
      </c>
      <c r="D25" s="6">
        <f>IFERROR(__xludf.DUMMYFUNCTION("""COMPUTED_VALUE"""),45041.0)</f>
        <v>45041</v>
      </c>
      <c r="E25" s="7">
        <f>IFERROR(__xludf.DUMMYFUNCTION("""COMPUTED_VALUE"""),0.400001776167386)</f>
        <v>0.4000017762</v>
      </c>
      <c r="F25" s="6">
        <f>IFERROR(__xludf.DUMMYFUNCTION("""COMPUTED_VALUE"""),13350.0)</f>
        <v>13350</v>
      </c>
      <c r="G25" s="6">
        <f>IFERROR(__xludf.DUMMYFUNCTION("""COMPUTED_VALUE"""),13350.0)</f>
        <v>13350</v>
      </c>
      <c r="H25" s="6">
        <f>IFERROR(__xludf.DUMMYFUNCTION("""COMPUTED_VALUE"""),0.0)</f>
        <v>0</v>
      </c>
      <c r="I25" s="5" t="str">
        <f>IFERROR(__xludf.DUMMYFUNCTION("""COMPUTED_VALUE"""),"EXCEPTION")</f>
        <v>EXCEPTION</v>
      </c>
      <c r="J25" s="5" t="str">
        <f>IFERROR(__xludf.DUMMYFUNCTION("""COMPUTED_VALUE"""),"Partial Payment")</f>
        <v>Partial Payment</v>
      </c>
      <c r="K25" s="5" t="str">
        <f t="shared" si="1"/>
        <v>Contact customer for balance</v>
      </c>
      <c r="L25" s="5" t="str">
        <f>VLOOKUP(A25,LMS_Loan_Tape!A:Z,7,FALSE)</f>
        <v>Piramal</v>
      </c>
      <c r="M25" s="6">
        <f t="shared" si="2"/>
        <v>45041</v>
      </c>
      <c r="N25" s="5" t="str">
        <f>VLOOKUP(A25,LMS_Loan_Tape!A:Z,6,FALSE)</f>
        <v>Business Loan</v>
      </c>
      <c r="O25" s="5">
        <f>VLOOKUP(A25, LMS_Loan_Tape!A24:Z1023,11,false)</f>
        <v>9</v>
      </c>
    </row>
    <row r="26">
      <c r="A26" s="5" t="str">
        <f>IFERROR(__xludf.DUMMYFUNCTION("""COMPUTED_VALUE"""),"LN-10087")</f>
        <v>LN-10087</v>
      </c>
      <c r="B26" s="6">
        <f>IFERROR(__xludf.DUMMYFUNCTION("""COMPUTED_VALUE"""),53344.0)</f>
        <v>53344</v>
      </c>
      <c r="C26" s="6">
        <f>IFERROR(__xludf.DUMMYFUNCTION("""COMPUTED_VALUE"""),32006.0)</f>
        <v>32006</v>
      </c>
      <c r="D26" s="6">
        <f>IFERROR(__xludf.DUMMYFUNCTION("""COMPUTED_VALUE"""),21338.0)</f>
        <v>21338</v>
      </c>
      <c r="E26" s="7">
        <f>IFERROR(__xludf.DUMMYFUNCTION("""COMPUTED_VALUE"""),0.40000749850029993)</f>
        <v>0.4000074985</v>
      </c>
      <c r="F26" s="6">
        <f>IFERROR(__xludf.DUMMYFUNCTION("""COMPUTED_VALUE"""),10168.0)</f>
        <v>10168</v>
      </c>
      <c r="G26" s="6">
        <f>IFERROR(__xludf.DUMMYFUNCTION("""COMPUTED_VALUE"""),10168.0)</f>
        <v>10168</v>
      </c>
      <c r="H26" s="6">
        <f>IFERROR(__xludf.DUMMYFUNCTION("""COMPUTED_VALUE"""),0.0)</f>
        <v>0</v>
      </c>
      <c r="I26" s="5" t="str">
        <f>IFERROR(__xludf.DUMMYFUNCTION("""COMPUTED_VALUE"""),"EXCEPTION")</f>
        <v>EXCEPTION</v>
      </c>
      <c r="J26" s="5" t="str">
        <f>IFERROR(__xludf.DUMMYFUNCTION("""COMPUTED_VALUE"""),"Partial Payment")</f>
        <v>Partial Payment</v>
      </c>
      <c r="K26" s="5" t="str">
        <f t="shared" si="1"/>
        <v>Contact customer for balance</v>
      </c>
      <c r="L26" s="5" t="str">
        <f>VLOOKUP(A26,LMS_Loan_Tape!A:Z,7,FALSE)</f>
        <v>Northern Arc</v>
      </c>
      <c r="M26" s="6">
        <f t="shared" si="2"/>
        <v>21338</v>
      </c>
      <c r="N26" s="5" t="str">
        <f>VLOOKUP(A26,LMS_Loan_Tape!A:Z,6,FALSE)</f>
        <v>Gold Loan</v>
      </c>
      <c r="O26" s="5">
        <f>VLOOKUP(A26, LMS_Loan_Tape!A25:Z1024,11,false)</f>
        <v>9</v>
      </c>
    </row>
    <row r="27">
      <c r="A27" s="5" t="str">
        <f>IFERROR(__xludf.DUMMYFUNCTION("""COMPUTED_VALUE"""),"LN-10091")</f>
        <v>LN-10091</v>
      </c>
      <c r="B27" s="6">
        <f>IFERROR(__xludf.DUMMYFUNCTION("""COMPUTED_VALUE"""),30963.0)</f>
        <v>30963</v>
      </c>
      <c r="C27" s="6">
        <f>IFERROR(__xludf.DUMMYFUNCTION("""COMPUTED_VALUE"""),30343.0)</f>
        <v>30343</v>
      </c>
      <c r="D27" s="6">
        <f>IFERROR(__xludf.DUMMYFUNCTION("""COMPUTED_VALUE"""),620.0)</f>
        <v>620</v>
      </c>
      <c r="E27" s="7">
        <f>IFERROR(__xludf.DUMMYFUNCTION("""COMPUTED_VALUE"""),0.02002389949294319)</f>
        <v>0.02002389949</v>
      </c>
      <c r="F27" s="6">
        <f>IFERROR(__xludf.DUMMYFUNCTION("""COMPUTED_VALUE"""),23097.0)</f>
        <v>23097</v>
      </c>
      <c r="G27" s="6">
        <f>IFERROR(__xludf.DUMMYFUNCTION("""COMPUTED_VALUE"""),23097.0)</f>
        <v>23097</v>
      </c>
      <c r="H27" s="6">
        <f>IFERROR(__xludf.DUMMYFUNCTION("""COMPUTED_VALUE"""),0.0)</f>
        <v>0</v>
      </c>
      <c r="I27" s="5" t="str">
        <f>IFERROR(__xludf.DUMMYFUNCTION("""COMPUTED_VALUE"""),"EXCEPTION")</f>
        <v>EXCEPTION</v>
      </c>
      <c r="J27" s="5"/>
      <c r="K27" s="5" t="str">
        <f t="shared" si="1"/>
        <v/>
      </c>
      <c r="L27" s="5" t="str">
        <f>VLOOKUP(A27,LMS_Loan_Tape!A:Z,7,FALSE)</f>
        <v>DMI</v>
      </c>
      <c r="M27" s="6">
        <f t="shared" si="2"/>
        <v>620</v>
      </c>
      <c r="N27" s="5" t="str">
        <f>VLOOKUP(A27,LMS_Loan_Tape!A:Z,6,FALSE)</f>
        <v>Home Loan</v>
      </c>
      <c r="O27" s="5">
        <f>VLOOKUP(A27, LMS_Loan_Tape!A26:Z1025,11,false)</f>
        <v>3</v>
      </c>
    </row>
    <row r="28">
      <c r="A28" s="5" t="str">
        <f>IFERROR(__xludf.DUMMYFUNCTION("""COMPUTED_VALUE"""),"LN-10093")</f>
        <v>LN-10093</v>
      </c>
      <c r="B28" s="6">
        <f>IFERROR(__xludf.DUMMYFUNCTION("""COMPUTED_VALUE"""),43894.0)</f>
        <v>43894</v>
      </c>
      <c r="C28" s="6">
        <f>IFERROR(__xludf.DUMMYFUNCTION("""COMPUTED_VALUE"""),35115.0)</f>
        <v>35115</v>
      </c>
      <c r="D28" s="6">
        <f>IFERROR(__xludf.DUMMYFUNCTION("""COMPUTED_VALUE"""),8779.0)</f>
        <v>8779</v>
      </c>
      <c r="E28" s="7">
        <f>IFERROR(__xludf.DUMMYFUNCTION("""COMPUTED_VALUE"""),0.2000045564314029)</f>
        <v>0.2000045564</v>
      </c>
      <c r="F28" s="6">
        <f>IFERROR(__xludf.DUMMYFUNCTION("""COMPUTED_VALUE"""),53579.0)</f>
        <v>53579</v>
      </c>
      <c r="G28" s="6">
        <f>IFERROR(__xludf.DUMMYFUNCTION("""COMPUTED_VALUE"""),53579.0)</f>
        <v>53579</v>
      </c>
      <c r="H28" s="6">
        <f>IFERROR(__xludf.DUMMYFUNCTION("""COMPUTED_VALUE"""),0.0)</f>
        <v>0</v>
      </c>
      <c r="I28" s="5" t="str">
        <f>IFERROR(__xludf.DUMMYFUNCTION("""COMPUTED_VALUE"""),"EXCEPTION")</f>
        <v>EXCEPTION</v>
      </c>
      <c r="J28" s="5" t="str">
        <f>IFERROR(__xludf.DUMMYFUNCTION("""COMPUTED_VALUE"""),"Prepayment")</f>
        <v>Prepayment</v>
      </c>
      <c r="K28" s="5" t="str">
        <f t="shared" si="1"/>
        <v>Update schedule, recalculate interest</v>
      </c>
      <c r="L28" s="5" t="str">
        <f>VLOOKUP(A28,LMS_Loan_Tape!A:Z,7,FALSE)</f>
        <v>Tata Capital</v>
      </c>
      <c r="M28" s="6">
        <f t="shared" si="2"/>
        <v>8779</v>
      </c>
      <c r="N28" s="5" t="str">
        <f>VLOOKUP(A28,LMS_Loan_Tape!A:Z,6,FALSE)</f>
        <v>Gold Loan</v>
      </c>
      <c r="O28" s="5">
        <f>VLOOKUP(A28, LMS_Loan_Tape!A27:Z1026,11,false)</f>
        <v>3</v>
      </c>
    </row>
    <row r="29">
      <c r="A29" s="5" t="str">
        <f>IFERROR(__xludf.DUMMYFUNCTION("""COMPUTED_VALUE"""),"LN-10097")</f>
        <v>LN-10097</v>
      </c>
      <c r="B29" s="6">
        <f>IFERROR(__xludf.DUMMYFUNCTION("""COMPUTED_VALUE"""),286683.0)</f>
        <v>286683</v>
      </c>
      <c r="C29" s="6">
        <f>IFERROR(__xludf.DUMMYFUNCTION("""COMPUTED_VALUE"""),286683.0)</f>
        <v>286683</v>
      </c>
      <c r="D29" s="6">
        <f>IFERROR(__xludf.DUMMYFUNCTION("""COMPUTED_VALUE"""),0.0)</f>
        <v>0</v>
      </c>
      <c r="E29" s="7">
        <f>IFERROR(__xludf.DUMMYFUNCTION("""COMPUTED_VALUE"""),0.0)</f>
        <v>0</v>
      </c>
      <c r="F29" s="6">
        <f>IFERROR(__xludf.DUMMYFUNCTION("""COMPUTED_VALUE"""),45617.0)</f>
        <v>45617</v>
      </c>
      <c r="G29" s="6">
        <f>IFERROR(__xludf.DUMMYFUNCTION("""COMPUTED_VALUE"""),45160.0)</f>
        <v>45160</v>
      </c>
      <c r="H29" s="6">
        <f>IFERROR(__xludf.DUMMYFUNCTION("""COMPUTED_VALUE"""),457.0)</f>
        <v>457</v>
      </c>
      <c r="I29" s="5" t="str">
        <f>IFERROR(__xludf.DUMMYFUNCTION("""COMPUTED_VALUE"""),"EXCEPTION")</f>
        <v>EXCEPTION</v>
      </c>
      <c r="J29" s="5"/>
      <c r="K29" s="5" t="str">
        <f t="shared" si="1"/>
        <v/>
      </c>
      <c r="L29" s="5" t="str">
        <f>VLOOKUP(A29,LMS_Loan_Tape!A:Z,7,FALSE)</f>
        <v>Liquiloans</v>
      </c>
      <c r="M29" s="6">
        <f t="shared" si="2"/>
        <v>457</v>
      </c>
      <c r="N29" s="5" t="str">
        <f>VLOOKUP(A29,LMS_Loan_Tape!A:Z,6,FALSE)</f>
        <v>Home Loan</v>
      </c>
      <c r="O29" s="5">
        <f>VLOOKUP(A29, LMS_Loan_Tape!A28:Z1027,11,false)</f>
        <v>8</v>
      </c>
    </row>
    <row r="30">
      <c r="A30" s="5" t="str">
        <f>IFERROR(__xludf.DUMMYFUNCTION("""COMPUTED_VALUE"""),"LN-10098")</f>
        <v>LN-10098</v>
      </c>
      <c r="B30" s="6">
        <f>IFERROR(__xludf.DUMMYFUNCTION("""COMPUTED_VALUE"""),188079.0)</f>
        <v>188079</v>
      </c>
      <c r="C30" s="6">
        <f>IFERROR(__xludf.DUMMYFUNCTION("""COMPUTED_VALUE"""),188079.0)</f>
        <v>188079</v>
      </c>
      <c r="D30" s="6">
        <f>IFERROR(__xludf.DUMMYFUNCTION("""COMPUTED_VALUE"""),0.0)</f>
        <v>0</v>
      </c>
      <c r="E30" s="7">
        <f>IFERROR(__xludf.DUMMYFUNCTION("""COMPUTED_VALUE"""),0.0)</f>
        <v>0</v>
      </c>
      <c r="F30" s="6">
        <f>IFERROR(__xludf.DUMMYFUNCTION("""COMPUTED_VALUE"""),18362.0)</f>
        <v>18362</v>
      </c>
      <c r="G30" s="6">
        <f>IFERROR(__xludf.DUMMYFUNCTION("""COMPUTED_VALUE"""),18178.0)</f>
        <v>18178</v>
      </c>
      <c r="H30" s="6">
        <f>IFERROR(__xludf.DUMMYFUNCTION("""COMPUTED_VALUE"""),184.0)</f>
        <v>184</v>
      </c>
      <c r="I30" s="5" t="str">
        <f>IFERROR(__xludf.DUMMYFUNCTION("""COMPUTED_VALUE"""),"EXCEPTION")</f>
        <v>EXCEPTION</v>
      </c>
      <c r="J30" s="5"/>
      <c r="K30" s="5" t="str">
        <f t="shared" si="1"/>
        <v/>
      </c>
      <c r="L30" s="5" t="str">
        <f>VLOOKUP(A30,LMS_Loan_Tape!A:Z,7,FALSE)</f>
        <v>Liquiloans</v>
      </c>
      <c r="M30" s="6">
        <f t="shared" si="2"/>
        <v>184</v>
      </c>
      <c r="N30" s="5" t="str">
        <f>VLOOKUP(A30,LMS_Loan_Tape!A:Z,6,FALSE)</f>
        <v>Home Loan</v>
      </c>
      <c r="O30" s="5">
        <f>VLOOKUP(A30, LMS_Loan_Tape!A29:Z1028,11,false)</f>
        <v>6</v>
      </c>
    </row>
    <row r="31">
      <c r="A31" s="5" t="str">
        <f>IFERROR(__xludf.DUMMYFUNCTION("""COMPUTED_VALUE"""),"LN-10102")</f>
        <v>LN-10102</v>
      </c>
      <c r="B31" s="6">
        <f>IFERROR(__xludf.DUMMYFUNCTION("""COMPUTED_VALUE"""),333909.0)</f>
        <v>333909</v>
      </c>
      <c r="C31" s="6">
        <f>IFERROR(__xludf.DUMMYFUNCTION("""COMPUTED_VALUE"""),300518.0)</f>
        <v>300518</v>
      </c>
      <c r="D31" s="6">
        <f>IFERROR(__xludf.DUMMYFUNCTION("""COMPUTED_VALUE"""),33391.0)</f>
        <v>33391</v>
      </c>
      <c r="E31" s="7">
        <f>IFERROR(__xludf.DUMMYFUNCTION("""COMPUTED_VALUE"""),0.10000029948279322)</f>
        <v>0.1000002995</v>
      </c>
      <c r="F31" s="6">
        <f>IFERROR(__xludf.DUMMYFUNCTION("""COMPUTED_VALUE"""),41478.0)</f>
        <v>41478</v>
      </c>
      <c r="G31" s="6">
        <f>IFERROR(__xludf.DUMMYFUNCTION("""COMPUTED_VALUE"""),20739.0)</f>
        <v>20739</v>
      </c>
      <c r="H31" s="6">
        <f>IFERROR(__xludf.DUMMYFUNCTION("""COMPUTED_VALUE"""),20739.0)</f>
        <v>20739</v>
      </c>
      <c r="I31" s="5" t="str">
        <f>IFERROR(__xludf.DUMMYFUNCTION("""COMPUTED_VALUE"""),"EXCEPTION")</f>
        <v>EXCEPTION</v>
      </c>
      <c r="J31" s="5" t="str">
        <f>IFERROR(__xludf.DUMMYFUNCTION("""COMPUTED_VALUE"""),"Waiver Applied")</f>
        <v>Waiver Applied</v>
      </c>
      <c r="K31" s="5" t="str">
        <f t="shared" si="1"/>
        <v>Verify approval, update ledger</v>
      </c>
      <c r="L31" s="5" t="str">
        <f>VLOOKUP(A31,LMS_Loan_Tape!A:Z,7,FALSE)</f>
        <v>DMI</v>
      </c>
      <c r="M31" s="6">
        <f t="shared" si="2"/>
        <v>54130</v>
      </c>
      <c r="N31" s="5" t="str">
        <f>VLOOKUP(A31,LMS_Loan_Tape!A:Z,6,FALSE)</f>
        <v>Home Loan</v>
      </c>
      <c r="O31" s="5">
        <f>VLOOKUP(A31, LMS_Loan_Tape!A30:Z1029,11,false)</f>
        <v>8</v>
      </c>
    </row>
    <row r="32">
      <c r="A32" s="5" t="str">
        <f>IFERROR(__xludf.DUMMYFUNCTION("""COMPUTED_VALUE"""),"LN-10105")</f>
        <v>LN-10105</v>
      </c>
      <c r="B32" s="6">
        <f>IFERROR(__xludf.DUMMYFUNCTION("""COMPUTED_VALUE"""),78377.0)</f>
        <v>78377</v>
      </c>
      <c r="C32" s="6">
        <f>IFERROR(__xludf.DUMMYFUNCTION("""COMPUTED_VALUE"""),70539.0)</f>
        <v>70539</v>
      </c>
      <c r="D32" s="6">
        <f>IFERROR(__xludf.DUMMYFUNCTION("""COMPUTED_VALUE"""),7838.0)</f>
        <v>7838</v>
      </c>
      <c r="E32" s="7">
        <f>IFERROR(__xludf.DUMMYFUNCTION("""COMPUTED_VALUE"""),0.1000038276535208)</f>
        <v>0.1000038277</v>
      </c>
      <c r="F32" s="6">
        <f>IFERROR(__xludf.DUMMYFUNCTION("""COMPUTED_VALUE"""),20750.0)</f>
        <v>20750</v>
      </c>
      <c r="G32" s="6">
        <f>IFERROR(__xludf.DUMMYFUNCTION("""COMPUTED_VALUE"""),10375.0)</f>
        <v>10375</v>
      </c>
      <c r="H32" s="6">
        <f>IFERROR(__xludf.DUMMYFUNCTION("""COMPUTED_VALUE"""),10375.0)</f>
        <v>10375</v>
      </c>
      <c r="I32" s="5" t="str">
        <f>IFERROR(__xludf.DUMMYFUNCTION("""COMPUTED_VALUE"""),"EXCEPTION")</f>
        <v>EXCEPTION</v>
      </c>
      <c r="J32" s="5" t="str">
        <f>IFERROR(__xludf.DUMMYFUNCTION("""COMPUTED_VALUE"""),"Waiver Applied")</f>
        <v>Waiver Applied</v>
      </c>
      <c r="K32" s="5" t="str">
        <f t="shared" si="1"/>
        <v>Verify approval, update ledger</v>
      </c>
      <c r="L32" s="5" t="str">
        <f>VLOOKUP(A32,LMS_Loan_Tape!A:Z,7,FALSE)</f>
        <v>Liquiloans</v>
      </c>
      <c r="M32" s="6">
        <f t="shared" si="2"/>
        <v>18213</v>
      </c>
      <c r="N32" s="5" t="str">
        <f>VLOOKUP(A32,LMS_Loan_Tape!A:Z,6,FALSE)</f>
        <v>Gold Loan</v>
      </c>
      <c r="O32" s="5">
        <f>VLOOKUP(A32, LMS_Loan_Tape!A31:Z1030,11,false)</f>
        <v>8</v>
      </c>
    </row>
    <row r="33">
      <c r="A33" s="5" t="str">
        <f>IFERROR(__xludf.DUMMYFUNCTION("""COMPUTED_VALUE"""),"LN-10110")</f>
        <v>LN-10110</v>
      </c>
      <c r="B33" s="6">
        <f>IFERROR(__xludf.DUMMYFUNCTION("""COMPUTED_VALUE"""),105195.0)</f>
        <v>105195</v>
      </c>
      <c r="C33" s="6">
        <f>IFERROR(__xludf.DUMMYFUNCTION("""COMPUTED_VALUE"""),105791.0)</f>
        <v>105791</v>
      </c>
      <c r="D33" s="6">
        <f>IFERROR(__xludf.DUMMYFUNCTION("""COMPUTED_VALUE"""),-596.0)</f>
        <v>-596</v>
      </c>
      <c r="E33" s="7">
        <f>IFERROR(__xludf.DUMMYFUNCTION("""COMPUTED_VALUE"""),-0.0056656685203669375)</f>
        <v>-0.00566566852</v>
      </c>
      <c r="F33" s="6">
        <f>IFERROR(__xludf.DUMMYFUNCTION("""COMPUTED_VALUE"""),31570.0)</f>
        <v>31570</v>
      </c>
      <c r="G33" s="6">
        <f>IFERROR(__xludf.DUMMYFUNCTION("""COMPUTED_VALUE"""),31570.0)</f>
        <v>31570</v>
      </c>
      <c r="H33" s="6">
        <f>IFERROR(__xludf.DUMMYFUNCTION("""COMPUTED_VALUE"""),0.0)</f>
        <v>0</v>
      </c>
      <c r="I33" s="5" t="str">
        <f>IFERROR(__xludf.DUMMYFUNCTION("""COMPUTED_VALUE"""),"EXCEPTION")</f>
        <v>EXCEPTION</v>
      </c>
      <c r="J33" s="5" t="str">
        <f>IFERROR(__xludf.DUMMYFUNCTION("""COMPUTED_VALUE"""),"System Error")</f>
        <v>System Error</v>
      </c>
      <c r="K33" s="5" t="str">
        <f t="shared" si="1"/>
        <v>Escalate to tech team</v>
      </c>
      <c r="L33" s="5" t="str">
        <f>VLOOKUP(A33,LMS_Loan_Tape!A:Z,7,FALSE)</f>
        <v>Tata Capital</v>
      </c>
      <c r="M33" s="6">
        <f t="shared" si="2"/>
        <v>-596</v>
      </c>
      <c r="N33" s="5" t="str">
        <f>VLOOKUP(A33,LMS_Loan_Tape!A:Z,6,FALSE)</f>
        <v>Home Loan</v>
      </c>
      <c r="O33" s="5">
        <f>VLOOKUP(A33, LMS_Loan_Tape!A32:Z1031,11,false)</f>
        <v>12</v>
      </c>
    </row>
    <row r="34">
      <c r="A34" s="5" t="str">
        <f>IFERROR(__xludf.DUMMYFUNCTION("""COMPUTED_VALUE"""),"LN-10118")</f>
        <v>LN-10118</v>
      </c>
      <c r="B34" s="6">
        <f>IFERROR(__xludf.DUMMYFUNCTION("""COMPUTED_VALUE"""),11813.0)</f>
        <v>11813</v>
      </c>
      <c r="C34" s="6">
        <f>IFERROR(__xludf.DUMMYFUNCTION("""COMPUTED_VALUE"""),10631.0)</f>
        <v>10631</v>
      </c>
      <c r="D34" s="6">
        <f>IFERROR(__xludf.DUMMYFUNCTION("""COMPUTED_VALUE"""),1182.0)</f>
        <v>1182</v>
      </c>
      <c r="E34" s="7">
        <f>IFERROR(__xludf.DUMMYFUNCTION("""COMPUTED_VALUE"""),0.100059256751037)</f>
        <v>0.1000592568</v>
      </c>
      <c r="F34" s="6">
        <f>IFERROR(__xludf.DUMMYFUNCTION("""COMPUTED_VALUE"""),12323.0)</f>
        <v>12323</v>
      </c>
      <c r="G34" s="6">
        <f>IFERROR(__xludf.DUMMYFUNCTION("""COMPUTED_VALUE"""),6161.0)</f>
        <v>6161</v>
      </c>
      <c r="H34" s="6">
        <f>IFERROR(__xludf.DUMMYFUNCTION("""COMPUTED_VALUE"""),6162.0)</f>
        <v>6162</v>
      </c>
      <c r="I34" s="5" t="str">
        <f>IFERROR(__xludf.DUMMYFUNCTION("""COMPUTED_VALUE"""),"EXCEPTION")</f>
        <v>EXCEPTION</v>
      </c>
      <c r="J34" s="5" t="str">
        <f>IFERROR(__xludf.DUMMYFUNCTION("""COMPUTED_VALUE"""),"Waiver Applied")</f>
        <v>Waiver Applied</v>
      </c>
      <c r="K34" s="5" t="str">
        <f t="shared" si="1"/>
        <v>Verify approval, update ledger</v>
      </c>
      <c r="L34" s="5" t="str">
        <f>VLOOKUP(A34,LMS_Loan_Tape!A:Z,7,FALSE)</f>
        <v>Tata Capital</v>
      </c>
      <c r="M34" s="6">
        <f t="shared" si="2"/>
        <v>7344</v>
      </c>
      <c r="N34" s="5" t="str">
        <f>VLOOKUP(A34,LMS_Loan_Tape!A:Z,6,FALSE)</f>
        <v>Business Loan</v>
      </c>
      <c r="O34" s="5">
        <f>VLOOKUP(A34, LMS_Loan_Tape!A33:Z1032,11,false)</f>
        <v>4</v>
      </c>
    </row>
    <row r="35">
      <c r="A35" s="5" t="str">
        <f>IFERROR(__xludf.DUMMYFUNCTION("""COMPUTED_VALUE"""),"LN-10125")</f>
        <v>LN-10125</v>
      </c>
      <c r="B35" s="6">
        <f>IFERROR(__xludf.DUMMYFUNCTION("""COMPUTED_VALUE"""),396217.0)</f>
        <v>396217</v>
      </c>
      <c r="C35" s="6">
        <f>IFERROR(__xludf.DUMMYFUNCTION("""COMPUTED_VALUE"""),396217.0)</f>
        <v>396217</v>
      </c>
      <c r="D35" s="6">
        <f>IFERROR(__xludf.DUMMYFUNCTION("""COMPUTED_VALUE"""),0.0)</f>
        <v>0</v>
      </c>
      <c r="E35" s="7">
        <f>IFERROR(__xludf.DUMMYFUNCTION("""COMPUTED_VALUE"""),0.0)</f>
        <v>0</v>
      </c>
      <c r="F35" s="6">
        <f>IFERROR(__xludf.DUMMYFUNCTION("""COMPUTED_VALUE"""),27455.0)</f>
        <v>27455</v>
      </c>
      <c r="G35" s="6">
        <f>IFERROR(__xludf.DUMMYFUNCTION("""COMPUTED_VALUE"""),27180.0)</f>
        <v>27180</v>
      </c>
      <c r="H35" s="6">
        <f>IFERROR(__xludf.DUMMYFUNCTION("""COMPUTED_VALUE"""),275.0)</f>
        <v>275</v>
      </c>
      <c r="I35" s="5" t="str">
        <f>IFERROR(__xludf.DUMMYFUNCTION("""COMPUTED_VALUE"""),"EXCEPTION")</f>
        <v>EXCEPTION</v>
      </c>
      <c r="J35" s="5"/>
      <c r="K35" s="5" t="str">
        <f t="shared" si="1"/>
        <v/>
      </c>
      <c r="L35" s="5" t="str">
        <f>VLOOKUP(A35,LMS_Loan_Tape!A:Z,7,FALSE)</f>
        <v>Tata Capital</v>
      </c>
      <c r="M35" s="6">
        <f t="shared" si="2"/>
        <v>275</v>
      </c>
      <c r="N35" s="5" t="str">
        <f>VLOOKUP(A35,LMS_Loan_Tape!A:Z,6,FALSE)</f>
        <v>Personal Loan</v>
      </c>
      <c r="O35" s="5">
        <f>VLOOKUP(A35, LMS_Loan_Tape!A34:Z1033,11,false)</f>
        <v>1</v>
      </c>
    </row>
    <row r="36">
      <c r="A36" s="5" t="str">
        <f>IFERROR(__xludf.DUMMYFUNCTION("""COMPUTED_VALUE"""),"LN-10127")</f>
        <v>LN-10127</v>
      </c>
      <c r="B36" s="6">
        <f>IFERROR(__xludf.DUMMYFUNCTION("""COMPUTED_VALUE"""),140015.0)</f>
        <v>140015</v>
      </c>
      <c r="C36" s="6">
        <f>IFERROR(__xludf.DUMMYFUNCTION("""COMPUTED_VALUE"""),137214.0)</f>
        <v>137214</v>
      </c>
      <c r="D36" s="6">
        <f>IFERROR(__xludf.DUMMYFUNCTION("""COMPUTED_VALUE"""),2801.0)</f>
        <v>2801</v>
      </c>
      <c r="E36" s="7">
        <f>IFERROR(__xludf.DUMMYFUNCTION("""COMPUTED_VALUE"""),0.020004999464343105)</f>
        <v>0.02000499946</v>
      </c>
      <c r="F36" s="6">
        <f>IFERROR(__xludf.DUMMYFUNCTION("""COMPUTED_VALUE"""),17164.0)</f>
        <v>17164</v>
      </c>
      <c r="G36" s="6">
        <f>IFERROR(__xludf.DUMMYFUNCTION("""COMPUTED_VALUE"""),17164.0)</f>
        <v>17164</v>
      </c>
      <c r="H36" s="6">
        <f>IFERROR(__xludf.DUMMYFUNCTION("""COMPUTED_VALUE"""),0.0)</f>
        <v>0</v>
      </c>
      <c r="I36" s="5" t="str">
        <f>IFERROR(__xludf.DUMMYFUNCTION("""COMPUTED_VALUE"""),"EXCEPTION")</f>
        <v>EXCEPTION</v>
      </c>
      <c r="J36" s="5"/>
      <c r="K36" s="5" t="str">
        <f t="shared" si="1"/>
        <v/>
      </c>
      <c r="L36" s="5" t="str">
        <f>VLOOKUP(A36,LMS_Loan_Tape!A:Z,7,FALSE)</f>
        <v>Piramal</v>
      </c>
      <c r="M36" s="6">
        <f t="shared" si="2"/>
        <v>2801</v>
      </c>
      <c r="N36" s="5" t="str">
        <f>VLOOKUP(A36,LMS_Loan_Tape!A:Z,6,FALSE)</f>
        <v>Gold Loan</v>
      </c>
      <c r="O36" s="5">
        <f>VLOOKUP(A36, LMS_Loan_Tape!A35:Z1034,11,false)</f>
        <v>4</v>
      </c>
    </row>
    <row r="37">
      <c r="A37" s="5" t="str">
        <f>IFERROR(__xludf.DUMMYFUNCTION("""COMPUTED_VALUE"""),"LN-10131")</f>
        <v>LN-10131</v>
      </c>
      <c r="B37" s="6">
        <f>IFERROR(__xludf.DUMMYFUNCTION("""COMPUTED_VALUE"""),310973.0)</f>
        <v>310973</v>
      </c>
      <c r="C37" s="6">
        <f>IFERROR(__xludf.DUMMYFUNCTION("""COMPUTED_VALUE"""),326521.0)</f>
        <v>326521</v>
      </c>
      <c r="D37" s="6">
        <f>IFERROR(__xludf.DUMMYFUNCTION("""COMPUTED_VALUE"""),-15548.0)</f>
        <v>-15548</v>
      </c>
      <c r="E37" s="7">
        <f>IFERROR(__xludf.DUMMYFUNCTION("""COMPUTED_VALUE"""),-0.04999790978638017)</f>
        <v>-0.04999790979</v>
      </c>
      <c r="F37" s="6">
        <f>IFERROR(__xludf.DUMMYFUNCTION("""COMPUTED_VALUE"""),38472.0)</f>
        <v>38472</v>
      </c>
      <c r="G37" s="6">
        <f>IFERROR(__xludf.DUMMYFUNCTION("""COMPUTED_VALUE"""),38472.0)</f>
        <v>38472</v>
      </c>
      <c r="H37" s="6">
        <f>IFERROR(__xludf.DUMMYFUNCTION("""COMPUTED_VALUE"""),0.0)</f>
        <v>0</v>
      </c>
      <c r="I37" s="5" t="str">
        <f>IFERROR(__xludf.DUMMYFUNCTION("""COMPUTED_VALUE"""),"EXCEPTION")</f>
        <v>EXCEPTION</v>
      </c>
      <c r="J37" s="5" t="str">
        <f>IFERROR(__xludf.DUMMYFUNCTION("""COMPUTED_VALUE"""),"Rate Change")</f>
        <v>Rate Change</v>
      </c>
      <c r="K37" s="5" t="str">
        <f t="shared" si="1"/>
        <v>Update loan agreement</v>
      </c>
      <c r="L37" s="5" t="str">
        <f>VLOOKUP(A37,LMS_Loan_Tape!A:Z,7,FALSE)</f>
        <v>DMI</v>
      </c>
      <c r="M37" s="6">
        <f t="shared" si="2"/>
        <v>-15548</v>
      </c>
      <c r="N37" s="5" t="str">
        <f>VLOOKUP(A37,LMS_Loan_Tape!A:Z,6,FALSE)</f>
        <v>Home Loan</v>
      </c>
      <c r="O37" s="5">
        <f>VLOOKUP(A37, LMS_Loan_Tape!A36:Z1035,11,false)</f>
        <v>8</v>
      </c>
    </row>
    <row r="38">
      <c r="A38" s="5" t="str">
        <f>IFERROR(__xludf.DUMMYFUNCTION("""COMPUTED_VALUE"""),"LN-10132")</f>
        <v>LN-10132</v>
      </c>
      <c r="B38" s="6">
        <f>IFERROR(__xludf.DUMMYFUNCTION("""COMPUTED_VALUE"""),358817.0)</f>
        <v>358817</v>
      </c>
      <c r="C38" s="6">
        <f>IFERROR(__xludf.DUMMYFUNCTION("""COMPUTED_VALUE"""),358817.0)</f>
        <v>358817</v>
      </c>
      <c r="D38" s="6">
        <f>IFERROR(__xludf.DUMMYFUNCTION("""COMPUTED_VALUE"""),0.0)</f>
        <v>0</v>
      </c>
      <c r="E38" s="7">
        <f>IFERROR(__xludf.DUMMYFUNCTION("""COMPUTED_VALUE"""),0.0)</f>
        <v>0</v>
      </c>
      <c r="F38" s="6">
        <f>IFERROR(__xludf.DUMMYFUNCTION("""COMPUTED_VALUE"""),40987.0)</f>
        <v>40987</v>
      </c>
      <c r="G38" s="6">
        <f>IFERROR(__xludf.DUMMYFUNCTION("""COMPUTED_VALUE"""),40577.0)</f>
        <v>40577</v>
      </c>
      <c r="H38" s="6">
        <f>IFERROR(__xludf.DUMMYFUNCTION("""COMPUTED_VALUE"""),410.0)</f>
        <v>410</v>
      </c>
      <c r="I38" s="5" t="str">
        <f>IFERROR(__xludf.DUMMYFUNCTION("""COMPUTED_VALUE"""),"EXCEPTION")</f>
        <v>EXCEPTION</v>
      </c>
      <c r="J38" s="5"/>
      <c r="K38" s="5" t="str">
        <f t="shared" si="1"/>
        <v/>
      </c>
      <c r="L38" s="5" t="str">
        <f>VLOOKUP(A38,LMS_Loan_Tape!A:Z,7,FALSE)</f>
        <v>Northern Arc</v>
      </c>
      <c r="M38" s="6">
        <f t="shared" si="2"/>
        <v>410</v>
      </c>
      <c r="N38" s="5" t="str">
        <f>VLOOKUP(A38,LMS_Loan_Tape!A:Z,6,FALSE)</f>
        <v>Business Loan</v>
      </c>
      <c r="O38" s="5">
        <f>VLOOKUP(A38, LMS_Loan_Tape!A37:Z1036,11,false)</f>
        <v>5</v>
      </c>
    </row>
    <row r="39">
      <c r="A39" s="5" t="str">
        <f>IFERROR(__xludf.DUMMYFUNCTION("""COMPUTED_VALUE"""),"LN-10135")</f>
        <v>LN-10135</v>
      </c>
      <c r="B39" s="6">
        <f>IFERROR(__xludf.DUMMYFUNCTION("""COMPUTED_VALUE"""),72617.0)</f>
        <v>72617</v>
      </c>
      <c r="C39" s="6">
        <f>IFERROR(__xludf.DUMMYFUNCTION("""COMPUTED_VALUE"""),76247.0)</f>
        <v>76247</v>
      </c>
      <c r="D39" s="6">
        <f>IFERROR(__xludf.DUMMYFUNCTION("""COMPUTED_VALUE"""),-3630.0)</f>
        <v>-3630</v>
      </c>
      <c r="E39" s="7">
        <f>IFERROR(__xludf.DUMMYFUNCTION("""COMPUTED_VALUE"""),-0.04998829475191759)</f>
        <v>-0.04998829475</v>
      </c>
      <c r="F39" s="6">
        <f>IFERROR(__xludf.DUMMYFUNCTION("""COMPUTED_VALUE"""),43451.0)</f>
        <v>43451</v>
      </c>
      <c r="G39" s="6">
        <f>IFERROR(__xludf.DUMMYFUNCTION("""COMPUTED_VALUE"""),43451.0)</f>
        <v>43451</v>
      </c>
      <c r="H39" s="6">
        <f>IFERROR(__xludf.DUMMYFUNCTION("""COMPUTED_VALUE"""),0.0)</f>
        <v>0</v>
      </c>
      <c r="I39" s="5" t="str">
        <f>IFERROR(__xludf.DUMMYFUNCTION("""COMPUTED_VALUE"""),"EXCEPTION")</f>
        <v>EXCEPTION</v>
      </c>
      <c r="J39" s="5" t="str">
        <f>IFERROR(__xludf.DUMMYFUNCTION("""COMPUTED_VALUE"""),"Rate Change")</f>
        <v>Rate Change</v>
      </c>
      <c r="K39" s="5" t="str">
        <f t="shared" si="1"/>
        <v>Update loan agreement</v>
      </c>
      <c r="L39" s="5" t="str">
        <f>VLOOKUP(A39,LMS_Loan_Tape!A:Z,7,FALSE)</f>
        <v>Northern Arc</v>
      </c>
      <c r="M39" s="6">
        <f t="shared" si="2"/>
        <v>-3630</v>
      </c>
      <c r="N39" s="5" t="str">
        <f>VLOOKUP(A39,LMS_Loan_Tape!A:Z,6,FALSE)</f>
        <v>Home Loan</v>
      </c>
      <c r="O39" s="5">
        <f>VLOOKUP(A39, LMS_Loan_Tape!A38:Z1037,11,false)</f>
        <v>2</v>
      </c>
    </row>
    <row r="40">
      <c r="A40" s="5" t="str">
        <f>IFERROR(__xludf.DUMMYFUNCTION("""COMPUTED_VALUE"""),"LN-10140")</f>
        <v>LN-10140</v>
      </c>
      <c r="B40" s="6">
        <f>IFERROR(__xludf.DUMMYFUNCTION("""COMPUTED_VALUE"""),134365.0)</f>
        <v>134365</v>
      </c>
      <c r="C40" s="6">
        <f>IFERROR(__xludf.DUMMYFUNCTION("""COMPUTED_VALUE"""),131677.0)</f>
        <v>131677</v>
      </c>
      <c r="D40" s="6">
        <f>IFERROR(__xludf.DUMMYFUNCTION("""COMPUTED_VALUE"""),2688.0)</f>
        <v>2688</v>
      </c>
      <c r="E40" s="7">
        <f>IFERROR(__xludf.DUMMYFUNCTION("""COMPUTED_VALUE"""),0.020005209690023444)</f>
        <v>0.02000520969</v>
      </c>
      <c r="F40" s="6">
        <f>IFERROR(__xludf.DUMMYFUNCTION("""COMPUTED_VALUE"""),24559.0)</f>
        <v>24559</v>
      </c>
      <c r="G40" s="6">
        <f>IFERROR(__xludf.DUMMYFUNCTION("""COMPUTED_VALUE"""),24559.0)</f>
        <v>24559</v>
      </c>
      <c r="H40" s="6">
        <f>IFERROR(__xludf.DUMMYFUNCTION("""COMPUTED_VALUE"""),0.0)</f>
        <v>0</v>
      </c>
      <c r="I40" s="5" t="str">
        <f>IFERROR(__xludf.DUMMYFUNCTION("""COMPUTED_VALUE"""),"EXCEPTION")</f>
        <v>EXCEPTION</v>
      </c>
      <c r="J40" s="5"/>
      <c r="K40" s="5" t="str">
        <f t="shared" si="1"/>
        <v/>
      </c>
      <c r="L40" s="5" t="str">
        <f>VLOOKUP(A40,LMS_Loan_Tape!A:Z,7,FALSE)</f>
        <v>DMI</v>
      </c>
      <c r="M40" s="6">
        <f t="shared" si="2"/>
        <v>2688</v>
      </c>
      <c r="N40" s="5" t="str">
        <f>VLOOKUP(A40,LMS_Loan_Tape!A:Z,6,FALSE)</f>
        <v>Personal Loan</v>
      </c>
      <c r="O40" s="5">
        <f>VLOOKUP(A40, LMS_Loan_Tape!A39:Z1038,11,false)</f>
        <v>10</v>
      </c>
    </row>
    <row r="41">
      <c r="A41" s="5" t="str">
        <f>IFERROR(__xludf.DUMMYFUNCTION("""COMPUTED_VALUE"""),"LN-10141")</f>
        <v>LN-10141</v>
      </c>
      <c r="B41" s="6">
        <f>IFERROR(__xludf.DUMMYFUNCTION("""COMPUTED_VALUE"""),26864.0)</f>
        <v>26864</v>
      </c>
      <c r="C41" s="6">
        <f>IFERROR(__xludf.DUMMYFUNCTION("""COMPUTED_VALUE"""),24177.0)</f>
        <v>24177</v>
      </c>
      <c r="D41" s="6">
        <f>IFERROR(__xludf.DUMMYFUNCTION("""COMPUTED_VALUE"""),2687.0)</f>
        <v>2687</v>
      </c>
      <c r="E41" s="7">
        <f>IFERROR(__xludf.DUMMYFUNCTION("""COMPUTED_VALUE"""),0.10002233472304943)</f>
        <v>0.1000223347</v>
      </c>
      <c r="F41" s="6">
        <f>IFERROR(__xludf.DUMMYFUNCTION("""COMPUTED_VALUE"""),9092.0)</f>
        <v>9092</v>
      </c>
      <c r="G41" s="6">
        <f>IFERROR(__xludf.DUMMYFUNCTION("""COMPUTED_VALUE"""),4546.0)</f>
        <v>4546</v>
      </c>
      <c r="H41" s="6">
        <f>IFERROR(__xludf.DUMMYFUNCTION("""COMPUTED_VALUE"""),4546.0)</f>
        <v>4546</v>
      </c>
      <c r="I41" s="5" t="str">
        <f>IFERROR(__xludf.DUMMYFUNCTION("""COMPUTED_VALUE"""),"EXCEPTION")</f>
        <v>EXCEPTION</v>
      </c>
      <c r="J41" s="5" t="str">
        <f>IFERROR(__xludf.DUMMYFUNCTION("""COMPUTED_VALUE"""),"Waiver Applied")</f>
        <v>Waiver Applied</v>
      </c>
      <c r="K41" s="5" t="str">
        <f t="shared" si="1"/>
        <v>Verify approval, update ledger</v>
      </c>
      <c r="L41" s="5" t="str">
        <f>VLOOKUP(A41,LMS_Loan_Tape!A:Z,7,FALSE)</f>
        <v>DMI</v>
      </c>
      <c r="M41" s="6">
        <f t="shared" si="2"/>
        <v>7233</v>
      </c>
      <c r="N41" s="5" t="str">
        <f>VLOOKUP(A41,LMS_Loan_Tape!A:Z,6,FALSE)</f>
        <v>Business Loan</v>
      </c>
      <c r="O41" s="5">
        <f>VLOOKUP(A41, LMS_Loan_Tape!A40:Z1039,11,false)</f>
        <v>1</v>
      </c>
    </row>
    <row r="42">
      <c r="A42" s="5" t="str">
        <f>IFERROR(__xludf.DUMMYFUNCTION("""COMPUTED_VALUE"""),"LN-10147")</f>
        <v>LN-10147</v>
      </c>
      <c r="B42" s="6">
        <f>IFERROR(__xludf.DUMMYFUNCTION("""COMPUTED_VALUE"""),20030.0)</f>
        <v>20030</v>
      </c>
      <c r="C42" s="6">
        <f>IFERROR(__xludf.DUMMYFUNCTION("""COMPUTED_VALUE"""),20030.0)</f>
        <v>20030</v>
      </c>
      <c r="D42" s="6">
        <f>IFERROR(__xludf.DUMMYFUNCTION("""COMPUTED_VALUE"""),0.0)</f>
        <v>0</v>
      </c>
      <c r="E42" s="7">
        <f>IFERROR(__xludf.DUMMYFUNCTION("""COMPUTED_VALUE"""),0.0)</f>
        <v>0</v>
      </c>
      <c r="F42" s="6">
        <f>IFERROR(__xludf.DUMMYFUNCTION("""COMPUTED_VALUE"""),3633.0)</f>
        <v>3633</v>
      </c>
      <c r="G42" s="6">
        <f>IFERROR(__xludf.DUMMYFUNCTION("""COMPUTED_VALUE"""),3596.0)</f>
        <v>3596</v>
      </c>
      <c r="H42" s="6">
        <f>IFERROR(__xludf.DUMMYFUNCTION("""COMPUTED_VALUE"""),37.0)</f>
        <v>37</v>
      </c>
      <c r="I42" s="5" t="str">
        <f>IFERROR(__xludf.DUMMYFUNCTION("""COMPUTED_VALUE"""),"EXCEPTION")</f>
        <v>EXCEPTION</v>
      </c>
      <c r="J42" s="5"/>
      <c r="K42" s="5" t="str">
        <f t="shared" si="1"/>
        <v/>
      </c>
      <c r="L42" s="5" t="str">
        <f>VLOOKUP(A42,LMS_Loan_Tape!A:Z,7,FALSE)</f>
        <v>Piramal</v>
      </c>
      <c r="M42" s="6">
        <f t="shared" si="2"/>
        <v>37</v>
      </c>
      <c r="N42" s="5" t="str">
        <f>VLOOKUP(A42,LMS_Loan_Tape!A:Z,6,FALSE)</f>
        <v>Home Loan</v>
      </c>
      <c r="O42" s="5">
        <f>VLOOKUP(A42, LMS_Loan_Tape!A41:Z1040,11,false)</f>
        <v>7</v>
      </c>
    </row>
    <row r="43">
      <c r="A43" s="5" t="str">
        <f>IFERROR(__xludf.DUMMYFUNCTION("""COMPUTED_VALUE"""),"LN-10151")</f>
        <v>LN-10151</v>
      </c>
      <c r="B43" s="6">
        <f>IFERROR(__xludf.DUMMYFUNCTION("""COMPUTED_VALUE"""),218076.0)</f>
        <v>218076</v>
      </c>
      <c r="C43" s="6">
        <f>IFERROR(__xludf.DUMMYFUNCTION("""COMPUTED_VALUE"""),213714.0)</f>
        <v>213714</v>
      </c>
      <c r="D43" s="6">
        <f>IFERROR(__xludf.DUMMYFUNCTION("""COMPUTED_VALUE"""),4362.0)</f>
        <v>4362</v>
      </c>
      <c r="E43" s="7">
        <f>IFERROR(__xludf.DUMMYFUNCTION("""COMPUTED_VALUE"""),0.020002201067517746)</f>
        <v>0.02000220107</v>
      </c>
      <c r="F43" s="6">
        <f>IFERROR(__xludf.DUMMYFUNCTION("""COMPUTED_VALUE"""),21783.0)</f>
        <v>21783</v>
      </c>
      <c r="G43" s="6">
        <f>IFERROR(__xludf.DUMMYFUNCTION("""COMPUTED_VALUE"""),21783.0)</f>
        <v>21783</v>
      </c>
      <c r="H43" s="6">
        <f>IFERROR(__xludf.DUMMYFUNCTION("""COMPUTED_VALUE"""),0.0)</f>
        <v>0</v>
      </c>
      <c r="I43" s="5" t="str">
        <f>IFERROR(__xludf.DUMMYFUNCTION("""COMPUTED_VALUE"""),"EXCEPTION")</f>
        <v>EXCEPTION</v>
      </c>
      <c r="J43" s="5"/>
      <c r="K43" s="5" t="str">
        <f t="shared" si="1"/>
        <v/>
      </c>
      <c r="L43" s="5" t="str">
        <f>VLOOKUP(A43,LMS_Loan_Tape!A:Z,7,FALSE)</f>
        <v>Piramal</v>
      </c>
      <c r="M43" s="6">
        <f t="shared" si="2"/>
        <v>4362</v>
      </c>
      <c r="N43" s="5" t="str">
        <f>VLOOKUP(A43,LMS_Loan_Tape!A:Z,6,FALSE)</f>
        <v>Business Loan</v>
      </c>
      <c r="O43" s="5">
        <f>VLOOKUP(A43, LMS_Loan_Tape!A42:Z1041,11,false)</f>
        <v>3</v>
      </c>
    </row>
    <row r="44">
      <c r="A44" s="5" t="str">
        <f>IFERROR(__xludf.DUMMYFUNCTION("""COMPUTED_VALUE"""),"LN-10157")</f>
        <v>LN-10157</v>
      </c>
      <c r="B44" s="6">
        <f>IFERROR(__xludf.DUMMYFUNCTION("""COMPUTED_VALUE"""),148836.0)</f>
        <v>148836</v>
      </c>
      <c r="C44" s="6">
        <f>IFERROR(__xludf.DUMMYFUNCTION("""COMPUTED_VALUE"""),145859.0)</f>
        <v>145859</v>
      </c>
      <c r="D44" s="6">
        <f>IFERROR(__xludf.DUMMYFUNCTION("""COMPUTED_VALUE"""),2977.0)</f>
        <v>2977</v>
      </c>
      <c r="E44" s="7">
        <f>IFERROR(__xludf.DUMMYFUNCTION("""COMPUTED_VALUE"""),0.02000188126528528)</f>
        <v>0.02000188127</v>
      </c>
      <c r="F44" s="6">
        <f>IFERROR(__xludf.DUMMYFUNCTION("""COMPUTED_VALUE"""),15987.0)</f>
        <v>15987</v>
      </c>
      <c r="G44" s="6">
        <f>IFERROR(__xludf.DUMMYFUNCTION("""COMPUTED_VALUE"""),15987.0)</f>
        <v>15987</v>
      </c>
      <c r="H44" s="6">
        <f>IFERROR(__xludf.DUMMYFUNCTION("""COMPUTED_VALUE"""),0.0)</f>
        <v>0</v>
      </c>
      <c r="I44" s="5" t="str">
        <f>IFERROR(__xludf.DUMMYFUNCTION("""COMPUTED_VALUE"""),"EXCEPTION")</f>
        <v>EXCEPTION</v>
      </c>
      <c r="J44" s="5"/>
      <c r="K44" s="5" t="str">
        <f t="shared" si="1"/>
        <v/>
      </c>
      <c r="L44" s="5" t="str">
        <f>VLOOKUP(A44,LMS_Loan_Tape!A:Z,7,FALSE)</f>
        <v>Tata Capital</v>
      </c>
      <c r="M44" s="6">
        <f t="shared" si="2"/>
        <v>2977</v>
      </c>
      <c r="N44" s="5" t="str">
        <f>VLOOKUP(A44,LMS_Loan_Tape!A:Z,6,FALSE)</f>
        <v>Home Loan</v>
      </c>
      <c r="O44" s="5">
        <f>VLOOKUP(A44, LMS_Loan_Tape!A43:Z1042,11,false)</f>
        <v>7</v>
      </c>
    </row>
    <row r="45">
      <c r="A45" s="5" t="str">
        <f>IFERROR(__xludf.DUMMYFUNCTION("""COMPUTED_VALUE"""),"LN-10162")</f>
        <v>LN-10162</v>
      </c>
      <c r="B45" s="6">
        <f>IFERROR(__xludf.DUMMYFUNCTION("""COMPUTED_VALUE"""),139650.0)</f>
        <v>139650</v>
      </c>
      <c r="C45" s="6">
        <f>IFERROR(__xludf.DUMMYFUNCTION("""COMPUTED_VALUE"""),125685.0)</f>
        <v>125685</v>
      </c>
      <c r="D45" s="6">
        <f>IFERROR(__xludf.DUMMYFUNCTION("""COMPUTED_VALUE"""),13965.0)</f>
        <v>13965</v>
      </c>
      <c r="E45" s="7">
        <f>IFERROR(__xludf.DUMMYFUNCTION("""COMPUTED_VALUE"""),0.1)</f>
        <v>0.1</v>
      </c>
      <c r="F45" s="6">
        <f>IFERROR(__xludf.DUMMYFUNCTION("""COMPUTED_VALUE"""),11432.0)</f>
        <v>11432</v>
      </c>
      <c r="G45" s="6">
        <f>IFERROR(__xludf.DUMMYFUNCTION("""COMPUTED_VALUE"""),5716.0)</f>
        <v>5716</v>
      </c>
      <c r="H45" s="6">
        <f>IFERROR(__xludf.DUMMYFUNCTION("""COMPUTED_VALUE"""),5716.0)</f>
        <v>5716</v>
      </c>
      <c r="I45" s="5" t="str">
        <f>IFERROR(__xludf.DUMMYFUNCTION("""COMPUTED_VALUE"""),"EXCEPTION")</f>
        <v>EXCEPTION</v>
      </c>
      <c r="J45" s="5" t="str">
        <f>IFERROR(__xludf.DUMMYFUNCTION("""COMPUTED_VALUE"""),"Waiver Applied")</f>
        <v>Waiver Applied</v>
      </c>
      <c r="K45" s="5" t="str">
        <f t="shared" si="1"/>
        <v>Verify approval, update ledger</v>
      </c>
      <c r="L45" s="5" t="str">
        <f>VLOOKUP(A45,LMS_Loan_Tape!A:Z,7,FALSE)</f>
        <v>Tata Capital</v>
      </c>
      <c r="M45" s="6">
        <f t="shared" si="2"/>
        <v>19681</v>
      </c>
      <c r="N45" s="5" t="str">
        <f>VLOOKUP(A45,LMS_Loan_Tape!A:Z,6,FALSE)</f>
        <v>Personal Loan</v>
      </c>
      <c r="O45" s="5">
        <f>VLOOKUP(A45, LMS_Loan_Tape!A44:Z1043,11,false)</f>
        <v>12</v>
      </c>
    </row>
    <row r="46">
      <c r="A46" s="5" t="str">
        <f>IFERROR(__xludf.DUMMYFUNCTION("""COMPUTED_VALUE"""),"LN-10166")</f>
        <v>LN-10166</v>
      </c>
      <c r="B46" s="6">
        <f>IFERROR(__xludf.DUMMYFUNCTION("""COMPUTED_VALUE"""),24798.0)</f>
        <v>24798</v>
      </c>
      <c r="C46" s="6">
        <f>IFERROR(__xludf.DUMMYFUNCTION("""COMPUTED_VALUE"""),24798.0)</f>
        <v>24798</v>
      </c>
      <c r="D46" s="6">
        <f>IFERROR(__xludf.DUMMYFUNCTION("""COMPUTED_VALUE"""),0.0)</f>
        <v>0</v>
      </c>
      <c r="E46" s="7">
        <f>IFERROR(__xludf.DUMMYFUNCTION("""COMPUTED_VALUE"""),0.0)</f>
        <v>0</v>
      </c>
      <c r="F46" s="6">
        <f>IFERROR(__xludf.DUMMYFUNCTION("""COMPUTED_VALUE"""),5843.0)</f>
        <v>5843</v>
      </c>
      <c r="G46" s="6">
        <f>IFERROR(__xludf.DUMMYFUNCTION("""COMPUTED_VALUE"""),5784.0)</f>
        <v>5784</v>
      </c>
      <c r="H46" s="6">
        <f>IFERROR(__xludf.DUMMYFUNCTION("""COMPUTED_VALUE"""),59.0)</f>
        <v>59</v>
      </c>
      <c r="I46" s="5" t="str">
        <f>IFERROR(__xludf.DUMMYFUNCTION("""COMPUTED_VALUE"""),"EXCEPTION")</f>
        <v>EXCEPTION</v>
      </c>
      <c r="J46" s="5"/>
      <c r="K46" s="5" t="str">
        <f t="shared" si="1"/>
        <v/>
      </c>
      <c r="L46" s="5" t="str">
        <f>VLOOKUP(A46,LMS_Loan_Tape!A:Z,7,FALSE)</f>
        <v>Tata Capital</v>
      </c>
      <c r="M46" s="6">
        <f t="shared" si="2"/>
        <v>59</v>
      </c>
      <c r="N46" s="5" t="str">
        <f>VLOOKUP(A46,LMS_Loan_Tape!A:Z,6,FALSE)</f>
        <v>Home Loan</v>
      </c>
      <c r="O46" s="5">
        <f>VLOOKUP(A46, LMS_Loan_Tape!A45:Z1044,11,false)</f>
        <v>8</v>
      </c>
    </row>
    <row r="47">
      <c r="A47" s="5" t="str">
        <f>IFERROR(__xludf.DUMMYFUNCTION("""COMPUTED_VALUE"""),"LN-10172")</f>
        <v>LN-10172</v>
      </c>
      <c r="B47" s="6">
        <f>IFERROR(__xludf.DUMMYFUNCTION("""COMPUTED_VALUE"""),136590.0)</f>
        <v>136590</v>
      </c>
      <c r="C47" s="6">
        <f>IFERROR(__xludf.DUMMYFUNCTION("""COMPUTED_VALUE"""),133858.0)</f>
        <v>133858</v>
      </c>
      <c r="D47" s="6">
        <f>IFERROR(__xludf.DUMMYFUNCTION("""COMPUTED_VALUE"""),2732.0)</f>
        <v>2732</v>
      </c>
      <c r="E47" s="7">
        <f>IFERROR(__xludf.DUMMYFUNCTION("""COMPUTED_VALUE"""),0.020001464236034848)</f>
        <v>0.02000146424</v>
      </c>
      <c r="F47" s="6">
        <f>IFERROR(__xludf.DUMMYFUNCTION("""COMPUTED_VALUE"""),20542.0)</f>
        <v>20542</v>
      </c>
      <c r="G47" s="6">
        <f>IFERROR(__xludf.DUMMYFUNCTION("""COMPUTED_VALUE"""),20336.0)</f>
        <v>20336</v>
      </c>
      <c r="H47" s="6">
        <f>IFERROR(__xludf.DUMMYFUNCTION("""COMPUTED_VALUE"""),206.0)</f>
        <v>206</v>
      </c>
      <c r="I47" s="5" t="str">
        <f>IFERROR(__xludf.DUMMYFUNCTION("""COMPUTED_VALUE"""),"EXCEPTION")</f>
        <v>EXCEPTION</v>
      </c>
      <c r="J47" s="5"/>
      <c r="K47" s="5" t="str">
        <f t="shared" si="1"/>
        <v/>
      </c>
      <c r="L47" s="5" t="str">
        <f>VLOOKUP(A47,LMS_Loan_Tape!A:Z,7,FALSE)</f>
        <v>DMI</v>
      </c>
      <c r="M47" s="6">
        <f t="shared" si="2"/>
        <v>2938</v>
      </c>
      <c r="N47" s="5" t="str">
        <f>VLOOKUP(A47,LMS_Loan_Tape!A:Z,6,FALSE)</f>
        <v>Home Loan</v>
      </c>
      <c r="O47" s="5">
        <f>VLOOKUP(A47, LMS_Loan_Tape!A46:Z1045,11,false)</f>
        <v>12</v>
      </c>
    </row>
    <row r="48">
      <c r="A48" s="5" t="str">
        <f>IFERROR(__xludf.DUMMYFUNCTION("""COMPUTED_VALUE"""),"LN-10174")</f>
        <v>LN-10174</v>
      </c>
      <c r="B48" s="6">
        <f>IFERROR(__xludf.DUMMYFUNCTION("""COMPUTED_VALUE"""),178739.0)</f>
        <v>178739</v>
      </c>
      <c r="C48" s="6">
        <f>IFERROR(__xludf.DUMMYFUNCTION("""COMPUTED_VALUE"""),178869.0)</f>
        <v>178869</v>
      </c>
      <c r="D48" s="6">
        <f>IFERROR(__xludf.DUMMYFUNCTION("""COMPUTED_VALUE"""),-130.0)</f>
        <v>-130</v>
      </c>
      <c r="E48" s="7">
        <f>IFERROR(__xludf.DUMMYFUNCTION("""COMPUTED_VALUE"""),-7.273174852718209E-4)</f>
        <v>-0.0007273174853</v>
      </c>
      <c r="F48" s="6">
        <f>IFERROR(__xludf.DUMMYFUNCTION("""COMPUTED_VALUE"""),29609.0)</f>
        <v>29609</v>
      </c>
      <c r="G48" s="6">
        <f>IFERROR(__xludf.DUMMYFUNCTION("""COMPUTED_VALUE"""),29609.0)</f>
        <v>29609</v>
      </c>
      <c r="H48" s="6">
        <f>IFERROR(__xludf.DUMMYFUNCTION("""COMPUTED_VALUE"""),0.0)</f>
        <v>0</v>
      </c>
      <c r="I48" s="5" t="str">
        <f>IFERROR(__xludf.DUMMYFUNCTION("""COMPUTED_VALUE"""),"EXCEPTION")</f>
        <v>EXCEPTION</v>
      </c>
      <c r="J48" s="5" t="str">
        <f>IFERROR(__xludf.DUMMYFUNCTION("""COMPUTED_VALUE"""),"System Error")</f>
        <v>System Error</v>
      </c>
      <c r="K48" s="5" t="str">
        <f t="shared" si="1"/>
        <v>Escalate to tech team</v>
      </c>
      <c r="L48" s="5" t="str">
        <f>VLOOKUP(A48,LMS_Loan_Tape!A:Z,7,FALSE)</f>
        <v>Piramal</v>
      </c>
      <c r="M48" s="6">
        <f t="shared" si="2"/>
        <v>-130</v>
      </c>
      <c r="N48" s="5" t="str">
        <f>VLOOKUP(A48,LMS_Loan_Tape!A:Z,6,FALSE)</f>
        <v>Business Loan</v>
      </c>
      <c r="O48" s="5">
        <f>VLOOKUP(A48, LMS_Loan_Tape!A47:Z1046,11,false)</f>
        <v>6</v>
      </c>
    </row>
    <row r="49">
      <c r="A49" s="5" t="str">
        <f>IFERROR(__xludf.DUMMYFUNCTION("""COMPUTED_VALUE"""),"LN-10180")</f>
        <v>LN-10180</v>
      </c>
      <c r="B49" s="6">
        <f>IFERROR(__xludf.DUMMYFUNCTION("""COMPUTED_VALUE"""),79336.0)</f>
        <v>79336</v>
      </c>
      <c r="C49" s="6">
        <f>IFERROR(__xludf.DUMMYFUNCTION("""COMPUTED_VALUE"""),80135.0)</f>
        <v>80135</v>
      </c>
      <c r="D49" s="6">
        <f>IFERROR(__xludf.DUMMYFUNCTION("""COMPUTED_VALUE"""),-799.0)</f>
        <v>-799</v>
      </c>
      <c r="E49" s="7">
        <f>IFERROR(__xludf.DUMMYFUNCTION("""COMPUTED_VALUE"""),-0.010071090047393365)</f>
        <v>-0.01007109005</v>
      </c>
      <c r="F49" s="6">
        <f>IFERROR(__xludf.DUMMYFUNCTION("""COMPUTED_VALUE"""),30727.0)</f>
        <v>30727</v>
      </c>
      <c r="G49" s="6">
        <f>IFERROR(__xludf.DUMMYFUNCTION("""COMPUTED_VALUE"""),30727.0)</f>
        <v>30727</v>
      </c>
      <c r="H49" s="6">
        <f>IFERROR(__xludf.DUMMYFUNCTION("""COMPUTED_VALUE"""),0.0)</f>
        <v>0</v>
      </c>
      <c r="I49" s="5" t="str">
        <f>IFERROR(__xludf.DUMMYFUNCTION("""COMPUTED_VALUE"""),"EXCEPTION")</f>
        <v>EXCEPTION</v>
      </c>
      <c r="J49" s="5" t="str">
        <f>IFERROR(__xludf.DUMMYFUNCTION("""COMPUTED_VALUE"""),"System Error")</f>
        <v>System Error</v>
      </c>
      <c r="K49" s="5" t="str">
        <f t="shared" si="1"/>
        <v>Escalate to tech team</v>
      </c>
      <c r="L49" s="5" t="str">
        <f>VLOOKUP(A49,LMS_Loan_Tape!A:Z,7,FALSE)</f>
        <v>Liquiloans</v>
      </c>
      <c r="M49" s="6">
        <f t="shared" si="2"/>
        <v>-799</v>
      </c>
      <c r="N49" s="5" t="str">
        <f>VLOOKUP(A49,LMS_Loan_Tape!A:Z,6,FALSE)</f>
        <v>Gold Loan</v>
      </c>
      <c r="O49" s="5">
        <f>VLOOKUP(A49, LMS_Loan_Tape!A48:Z1047,11,false)</f>
        <v>1</v>
      </c>
    </row>
    <row r="50">
      <c r="A50" s="5" t="str">
        <f>IFERROR(__xludf.DUMMYFUNCTION("""COMPUTED_VALUE"""),"LN-10194")</f>
        <v>LN-10194</v>
      </c>
      <c r="B50" s="6">
        <f>IFERROR(__xludf.DUMMYFUNCTION("""COMPUTED_VALUE"""),27266.0)</f>
        <v>27266</v>
      </c>
      <c r="C50" s="6">
        <f>IFERROR(__xludf.DUMMYFUNCTION("""COMPUTED_VALUE"""),28629.0)</f>
        <v>28629</v>
      </c>
      <c r="D50" s="6">
        <f>IFERROR(__xludf.DUMMYFUNCTION("""COMPUTED_VALUE"""),-1363.0)</f>
        <v>-1363</v>
      </c>
      <c r="E50" s="7">
        <f>IFERROR(__xludf.DUMMYFUNCTION("""COMPUTED_VALUE"""),-0.04998899728599721)</f>
        <v>-0.04998899729</v>
      </c>
      <c r="F50" s="6">
        <f>IFERROR(__xludf.DUMMYFUNCTION("""COMPUTED_VALUE"""),12880.0)</f>
        <v>12880</v>
      </c>
      <c r="G50" s="6">
        <f>IFERROR(__xludf.DUMMYFUNCTION("""COMPUTED_VALUE"""),12880.0)</f>
        <v>12880</v>
      </c>
      <c r="H50" s="6">
        <f>IFERROR(__xludf.DUMMYFUNCTION("""COMPUTED_VALUE"""),0.0)</f>
        <v>0</v>
      </c>
      <c r="I50" s="5" t="str">
        <f>IFERROR(__xludf.DUMMYFUNCTION("""COMPUTED_VALUE"""),"EXCEPTION")</f>
        <v>EXCEPTION</v>
      </c>
      <c r="J50" s="5" t="str">
        <f>IFERROR(__xludf.DUMMYFUNCTION("""COMPUTED_VALUE"""),"Rate Change")</f>
        <v>Rate Change</v>
      </c>
      <c r="K50" s="5" t="str">
        <f t="shared" si="1"/>
        <v>Update loan agreement</v>
      </c>
      <c r="L50" s="5" t="str">
        <f>VLOOKUP(A50,LMS_Loan_Tape!A:Z,7,FALSE)</f>
        <v>DMI</v>
      </c>
      <c r="M50" s="6">
        <f t="shared" si="2"/>
        <v>-1363</v>
      </c>
      <c r="N50" s="5" t="str">
        <f>VLOOKUP(A50,LMS_Loan_Tape!A:Z,6,FALSE)</f>
        <v>Business Loan</v>
      </c>
      <c r="O50" s="5">
        <f>VLOOKUP(A50, LMS_Loan_Tape!A49:Z1048,11,false)</f>
        <v>2</v>
      </c>
    </row>
    <row r="51">
      <c r="A51" s="5" t="str">
        <f>IFERROR(__xludf.DUMMYFUNCTION("""COMPUTED_VALUE"""),"LN-10196")</f>
        <v>LN-10196</v>
      </c>
      <c r="B51" s="6">
        <f>IFERROR(__xludf.DUMMYFUNCTION("""COMPUTED_VALUE"""),96653.0)</f>
        <v>96653</v>
      </c>
      <c r="C51" s="6">
        <f>IFERROR(__xludf.DUMMYFUNCTION("""COMPUTED_VALUE"""),94719.0)</f>
        <v>94719</v>
      </c>
      <c r="D51" s="6">
        <f>IFERROR(__xludf.DUMMYFUNCTION("""COMPUTED_VALUE"""),1934.0)</f>
        <v>1934</v>
      </c>
      <c r="E51" s="7">
        <f>IFERROR(__xludf.DUMMYFUNCTION("""COMPUTED_VALUE"""),0.020009725512917343)</f>
        <v>0.02000972551</v>
      </c>
      <c r="F51" s="6">
        <f>IFERROR(__xludf.DUMMYFUNCTION("""COMPUTED_VALUE"""),10718.0)</f>
        <v>10718</v>
      </c>
      <c r="G51" s="6">
        <f>IFERROR(__xludf.DUMMYFUNCTION("""COMPUTED_VALUE"""),10718.0)</f>
        <v>10718</v>
      </c>
      <c r="H51" s="6">
        <f>IFERROR(__xludf.DUMMYFUNCTION("""COMPUTED_VALUE"""),0.0)</f>
        <v>0</v>
      </c>
      <c r="I51" s="5" t="str">
        <f>IFERROR(__xludf.DUMMYFUNCTION("""COMPUTED_VALUE"""),"EXCEPTION")</f>
        <v>EXCEPTION</v>
      </c>
      <c r="J51" s="5"/>
      <c r="K51" s="5" t="str">
        <f t="shared" si="1"/>
        <v/>
      </c>
      <c r="L51" s="5" t="str">
        <f>VLOOKUP(A51,LMS_Loan_Tape!A:Z,7,FALSE)</f>
        <v>DMI</v>
      </c>
      <c r="M51" s="6">
        <f t="shared" si="2"/>
        <v>1934</v>
      </c>
      <c r="N51" s="5" t="str">
        <f>VLOOKUP(A51,LMS_Loan_Tape!A:Z,6,FALSE)</f>
        <v>Business Loan</v>
      </c>
      <c r="O51" s="5">
        <f>VLOOKUP(A51, LMS_Loan_Tape!A50:Z1049,11,false)</f>
        <v>3</v>
      </c>
    </row>
    <row r="52">
      <c r="A52" s="5" t="str">
        <f>IFERROR(__xludf.DUMMYFUNCTION("""COMPUTED_VALUE"""),"LN-10203")</f>
        <v>LN-10203</v>
      </c>
      <c r="B52" s="6">
        <f>IFERROR(__xludf.DUMMYFUNCTION("""COMPUTED_VALUE"""),37186.0)</f>
        <v>37186</v>
      </c>
      <c r="C52" s="6">
        <f>IFERROR(__xludf.DUMMYFUNCTION("""COMPUTED_VALUE"""),29748.0)</f>
        <v>29748</v>
      </c>
      <c r="D52" s="6">
        <f>IFERROR(__xludf.DUMMYFUNCTION("""COMPUTED_VALUE"""),7438.0)</f>
        <v>7438</v>
      </c>
      <c r="E52" s="7">
        <f>IFERROR(__xludf.DUMMYFUNCTION("""COMPUTED_VALUE"""),0.20002151347281236)</f>
        <v>0.2000215135</v>
      </c>
      <c r="F52" s="6">
        <f>IFERROR(__xludf.DUMMYFUNCTION("""COMPUTED_VALUE"""),9906.0)</f>
        <v>9906</v>
      </c>
      <c r="G52" s="6">
        <f>IFERROR(__xludf.DUMMYFUNCTION("""COMPUTED_VALUE"""),9906.0)</f>
        <v>9906</v>
      </c>
      <c r="H52" s="6">
        <f>IFERROR(__xludf.DUMMYFUNCTION("""COMPUTED_VALUE"""),0.0)</f>
        <v>0</v>
      </c>
      <c r="I52" s="5" t="str">
        <f>IFERROR(__xludf.DUMMYFUNCTION("""COMPUTED_VALUE"""),"EXCEPTION")</f>
        <v>EXCEPTION</v>
      </c>
      <c r="J52" s="5" t="str">
        <f>IFERROR(__xludf.DUMMYFUNCTION("""COMPUTED_VALUE"""),"Prepayment")</f>
        <v>Prepayment</v>
      </c>
      <c r="K52" s="5" t="str">
        <f t="shared" si="1"/>
        <v>Update schedule, recalculate interest</v>
      </c>
      <c r="L52" s="5" t="str">
        <f>VLOOKUP(A52,LMS_Loan_Tape!A:Z,7,FALSE)</f>
        <v>DMI</v>
      </c>
      <c r="M52" s="6">
        <f t="shared" si="2"/>
        <v>7438</v>
      </c>
      <c r="N52" s="5" t="str">
        <f>VLOOKUP(A52,LMS_Loan_Tape!A:Z,6,FALSE)</f>
        <v>Personal Loan</v>
      </c>
      <c r="O52" s="5">
        <f>VLOOKUP(A52, LMS_Loan_Tape!A51:Z1050,11,false)</f>
        <v>12</v>
      </c>
    </row>
    <row r="53">
      <c r="A53" s="5" t="str">
        <f>IFERROR(__xludf.DUMMYFUNCTION("""COMPUTED_VALUE"""),"LN-10204")</f>
        <v>LN-10204</v>
      </c>
      <c r="B53" s="6">
        <f>IFERROR(__xludf.DUMMYFUNCTION("""COMPUTED_VALUE"""),106109.0)</f>
        <v>106109</v>
      </c>
      <c r="C53" s="6">
        <f>IFERROR(__xludf.DUMMYFUNCTION("""COMPUTED_VALUE"""),106109.0)</f>
        <v>106109</v>
      </c>
      <c r="D53" s="6">
        <f>IFERROR(__xludf.DUMMYFUNCTION("""COMPUTED_VALUE"""),0.0)</f>
        <v>0</v>
      </c>
      <c r="E53" s="7">
        <f>IFERROR(__xludf.DUMMYFUNCTION("""COMPUTED_VALUE"""),0.0)</f>
        <v>0</v>
      </c>
      <c r="F53" s="6">
        <f>IFERROR(__xludf.DUMMYFUNCTION("""COMPUTED_VALUE"""),14993.0)</f>
        <v>14993</v>
      </c>
      <c r="G53" s="6">
        <f>IFERROR(__xludf.DUMMYFUNCTION("""COMPUTED_VALUE"""),14843.0)</f>
        <v>14843</v>
      </c>
      <c r="H53" s="6">
        <f>IFERROR(__xludf.DUMMYFUNCTION("""COMPUTED_VALUE"""),150.0)</f>
        <v>150</v>
      </c>
      <c r="I53" s="5" t="str">
        <f>IFERROR(__xludf.DUMMYFUNCTION("""COMPUTED_VALUE"""),"EXCEPTION")</f>
        <v>EXCEPTION</v>
      </c>
      <c r="J53" s="5"/>
      <c r="K53" s="5" t="str">
        <f t="shared" si="1"/>
        <v/>
      </c>
      <c r="L53" s="5" t="str">
        <f>VLOOKUP(A53,LMS_Loan_Tape!A:Z,7,FALSE)</f>
        <v>Tata Capital</v>
      </c>
      <c r="M53" s="6">
        <f t="shared" si="2"/>
        <v>150</v>
      </c>
      <c r="N53" s="5" t="str">
        <f>VLOOKUP(A53,LMS_Loan_Tape!A:Z,6,FALSE)</f>
        <v>Home Loan</v>
      </c>
      <c r="O53" s="5">
        <f>VLOOKUP(A53, LMS_Loan_Tape!A52:Z1051,11,false)</f>
        <v>7</v>
      </c>
    </row>
    <row r="54">
      <c r="A54" s="5" t="str">
        <f>IFERROR(__xludf.DUMMYFUNCTION("""COMPUTED_VALUE"""),"LN-10208")</f>
        <v>LN-10208</v>
      </c>
      <c r="B54" s="6">
        <f>IFERROR(__xludf.DUMMYFUNCTION("""COMPUTED_VALUE"""),424966.0)</f>
        <v>424966</v>
      </c>
      <c r="C54" s="6">
        <f>IFERROR(__xludf.DUMMYFUNCTION("""COMPUTED_VALUE"""),254979.0)</f>
        <v>254979</v>
      </c>
      <c r="D54" s="6">
        <f>IFERROR(__xludf.DUMMYFUNCTION("""COMPUTED_VALUE"""),169987.0)</f>
        <v>169987</v>
      </c>
      <c r="E54" s="7">
        <f>IFERROR(__xludf.DUMMYFUNCTION("""COMPUTED_VALUE"""),0.4000014118776561)</f>
        <v>0.4000014119</v>
      </c>
      <c r="F54" s="6">
        <f>IFERROR(__xludf.DUMMYFUNCTION("""COMPUTED_VALUE"""),29131.0)</f>
        <v>29131</v>
      </c>
      <c r="G54" s="6">
        <f>IFERROR(__xludf.DUMMYFUNCTION("""COMPUTED_VALUE"""),29131.0)</f>
        <v>29131</v>
      </c>
      <c r="H54" s="6">
        <f>IFERROR(__xludf.DUMMYFUNCTION("""COMPUTED_VALUE"""),0.0)</f>
        <v>0</v>
      </c>
      <c r="I54" s="5" t="str">
        <f>IFERROR(__xludf.DUMMYFUNCTION("""COMPUTED_VALUE"""),"EXCEPTION")</f>
        <v>EXCEPTION</v>
      </c>
      <c r="J54" s="5" t="str">
        <f>IFERROR(__xludf.DUMMYFUNCTION("""COMPUTED_VALUE"""),"Partial Payment")</f>
        <v>Partial Payment</v>
      </c>
      <c r="K54" s="5" t="str">
        <f t="shared" si="1"/>
        <v>Contact customer for balance</v>
      </c>
      <c r="L54" s="5" t="str">
        <f>VLOOKUP(A54,LMS_Loan_Tape!A:Z,7,FALSE)</f>
        <v>Liquiloans</v>
      </c>
      <c r="M54" s="6">
        <f t="shared" si="2"/>
        <v>169987</v>
      </c>
      <c r="N54" s="5" t="str">
        <f>VLOOKUP(A54,LMS_Loan_Tape!A:Z,6,FALSE)</f>
        <v>Home Loan</v>
      </c>
      <c r="O54" s="5">
        <f>VLOOKUP(A54, LMS_Loan_Tape!A53:Z1052,11,false)</f>
        <v>5</v>
      </c>
    </row>
    <row r="55">
      <c r="A55" s="5" t="str">
        <f>IFERROR(__xludf.DUMMYFUNCTION("""COMPUTED_VALUE"""),"LN-10210")</f>
        <v>LN-10210</v>
      </c>
      <c r="B55" s="6">
        <f>IFERROR(__xludf.DUMMYFUNCTION("""COMPUTED_VALUE"""),197606.0)</f>
        <v>197606</v>
      </c>
      <c r="C55" s="6">
        <f>IFERROR(__xludf.DUMMYFUNCTION("""COMPUTED_VALUE"""),197606.0)</f>
        <v>197606</v>
      </c>
      <c r="D55" s="6">
        <f>IFERROR(__xludf.DUMMYFUNCTION("""COMPUTED_VALUE"""),0.0)</f>
        <v>0</v>
      </c>
      <c r="E55" s="7">
        <f>IFERROR(__xludf.DUMMYFUNCTION("""COMPUTED_VALUE"""),0.0)</f>
        <v>0</v>
      </c>
      <c r="F55" s="6">
        <f>IFERROR(__xludf.DUMMYFUNCTION("""COMPUTED_VALUE"""),22571.0)</f>
        <v>22571</v>
      </c>
      <c r="G55" s="6">
        <f>IFERROR(__xludf.DUMMYFUNCTION("""COMPUTED_VALUE"""),22345.0)</f>
        <v>22345</v>
      </c>
      <c r="H55" s="6">
        <f>IFERROR(__xludf.DUMMYFUNCTION("""COMPUTED_VALUE"""),226.0)</f>
        <v>226</v>
      </c>
      <c r="I55" s="5" t="str">
        <f>IFERROR(__xludf.DUMMYFUNCTION("""COMPUTED_VALUE"""),"EXCEPTION")</f>
        <v>EXCEPTION</v>
      </c>
      <c r="J55" s="5"/>
      <c r="K55" s="5" t="str">
        <f t="shared" si="1"/>
        <v/>
      </c>
      <c r="L55" s="5" t="str">
        <f>VLOOKUP(A55,LMS_Loan_Tape!A:Z,7,FALSE)</f>
        <v>Tata Capital</v>
      </c>
      <c r="M55" s="6">
        <f t="shared" si="2"/>
        <v>226</v>
      </c>
      <c r="N55" s="5" t="str">
        <f>VLOOKUP(A55,LMS_Loan_Tape!A:Z,6,FALSE)</f>
        <v>Home Loan</v>
      </c>
      <c r="O55" s="5">
        <f>VLOOKUP(A55, LMS_Loan_Tape!A54:Z1053,11,false)</f>
        <v>4</v>
      </c>
    </row>
    <row r="56">
      <c r="A56" s="5" t="str">
        <f>IFERROR(__xludf.DUMMYFUNCTION("""COMPUTED_VALUE"""),"LN-10212")</f>
        <v>LN-10212</v>
      </c>
      <c r="B56" s="6">
        <f>IFERROR(__xludf.DUMMYFUNCTION("""COMPUTED_VALUE"""),67038.0)</f>
        <v>67038</v>
      </c>
      <c r="C56" s="6">
        <f>IFERROR(__xludf.DUMMYFUNCTION("""COMPUTED_VALUE"""),67841.0)</f>
        <v>67841</v>
      </c>
      <c r="D56" s="6">
        <f>IFERROR(__xludf.DUMMYFUNCTION("""COMPUTED_VALUE"""),-803.0)</f>
        <v>-803</v>
      </c>
      <c r="E56" s="7">
        <f>IFERROR(__xludf.DUMMYFUNCTION("""COMPUTED_VALUE"""),-0.01197828097496942)</f>
        <v>-0.01197828097</v>
      </c>
      <c r="F56" s="6">
        <f>IFERROR(__xludf.DUMMYFUNCTION("""COMPUTED_VALUE"""),13763.0)</f>
        <v>13763</v>
      </c>
      <c r="G56" s="6">
        <f>IFERROR(__xludf.DUMMYFUNCTION("""COMPUTED_VALUE"""),13763.0)</f>
        <v>13763</v>
      </c>
      <c r="H56" s="6">
        <f>IFERROR(__xludf.DUMMYFUNCTION("""COMPUTED_VALUE"""),0.0)</f>
        <v>0</v>
      </c>
      <c r="I56" s="5" t="str">
        <f>IFERROR(__xludf.DUMMYFUNCTION("""COMPUTED_VALUE"""),"EXCEPTION")</f>
        <v>EXCEPTION</v>
      </c>
      <c r="J56" s="5" t="str">
        <f>IFERROR(__xludf.DUMMYFUNCTION("""COMPUTED_VALUE"""),"System Error")</f>
        <v>System Error</v>
      </c>
      <c r="K56" s="5" t="str">
        <f t="shared" si="1"/>
        <v>Escalate to tech team</v>
      </c>
      <c r="L56" s="5" t="str">
        <f>VLOOKUP(A56,LMS_Loan_Tape!A:Z,7,FALSE)</f>
        <v>Tata Capital</v>
      </c>
      <c r="M56" s="6">
        <f t="shared" si="2"/>
        <v>-803</v>
      </c>
      <c r="N56" s="5" t="str">
        <f>VLOOKUP(A56,LMS_Loan_Tape!A:Z,6,FALSE)</f>
        <v>Home Loan</v>
      </c>
      <c r="O56" s="5">
        <f>VLOOKUP(A56, LMS_Loan_Tape!A55:Z1054,11,false)</f>
        <v>1</v>
      </c>
    </row>
    <row r="57">
      <c r="A57" s="5" t="str">
        <f>IFERROR(__xludf.DUMMYFUNCTION("""COMPUTED_VALUE"""),"LN-10213")</f>
        <v>LN-10213</v>
      </c>
      <c r="B57" s="6">
        <f>IFERROR(__xludf.DUMMYFUNCTION("""COMPUTED_VALUE"""),264467.0)</f>
        <v>264467</v>
      </c>
      <c r="C57" s="6">
        <f>IFERROR(__xludf.DUMMYFUNCTION("""COMPUTED_VALUE"""),158680.0)</f>
        <v>158680</v>
      </c>
      <c r="D57" s="6">
        <f>IFERROR(__xludf.DUMMYFUNCTION("""COMPUTED_VALUE"""),105787.0)</f>
        <v>105787</v>
      </c>
      <c r="E57" s="7">
        <f>IFERROR(__xludf.DUMMYFUNCTION("""COMPUTED_VALUE"""),0.40000075623801834)</f>
        <v>0.4000007562</v>
      </c>
      <c r="F57" s="6">
        <f>IFERROR(__xludf.DUMMYFUNCTION("""COMPUTED_VALUE"""),46667.0)</f>
        <v>46667</v>
      </c>
      <c r="G57" s="6">
        <f>IFERROR(__xludf.DUMMYFUNCTION("""COMPUTED_VALUE"""),46667.0)</f>
        <v>46667</v>
      </c>
      <c r="H57" s="6">
        <f>IFERROR(__xludf.DUMMYFUNCTION("""COMPUTED_VALUE"""),0.0)</f>
        <v>0</v>
      </c>
      <c r="I57" s="5" t="str">
        <f>IFERROR(__xludf.DUMMYFUNCTION("""COMPUTED_VALUE"""),"EXCEPTION")</f>
        <v>EXCEPTION</v>
      </c>
      <c r="J57" s="5" t="str">
        <f>IFERROR(__xludf.DUMMYFUNCTION("""COMPUTED_VALUE"""),"Partial Payment")</f>
        <v>Partial Payment</v>
      </c>
      <c r="K57" s="5" t="str">
        <f t="shared" si="1"/>
        <v>Contact customer for balance</v>
      </c>
      <c r="L57" s="5" t="str">
        <f>VLOOKUP(A57,LMS_Loan_Tape!A:Z,7,FALSE)</f>
        <v>DMI</v>
      </c>
      <c r="M57" s="6">
        <f t="shared" si="2"/>
        <v>105787</v>
      </c>
      <c r="N57" s="5" t="str">
        <f>VLOOKUP(A57,LMS_Loan_Tape!A:Z,6,FALSE)</f>
        <v>Home Loan</v>
      </c>
      <c r="O57" s="5">
        <f>VLOOKUP(A57, LMS_Loan_Tape!A56:Z1055,11,false)</f>
        <v>1</v>
      </c>
    </row>
    <row r="58">
      <c r="A58" s="5" t="str">
        <f>IFERROR(__xludf.DUMMYFUNCTION("""COMPUTED_VALUE"""),"LN-10218")</f>
        <v>LN-10218</v>
      </c>
      <c r="B58" s="6">
        <f>IFERROR(__xludf.DUMMYFUNCTION("""COMPUTED_VALUE"""),182595.0)</f>
        <v>182595</v>
      </c>
      <c r="C58" s="6">
        <f>IFERROR(__xludf.DUMMYFUNCTION("""COMPUTED_VALUE"""),183322.0)</f>
        <v>183322</v>
      </c>
      <c r="D58" s="6">
        <f>IFERROR(__xludf.DUMMYFUNCTION("""COMPUTED_VALUE"""),-727.0)</f>
        <v>-727</v>
      </c>
      <c r="E58" s="7">
        <f>IFERROR(__xludf.DUMMYFUNCTION("""COMPUTED_VALUE"""),-0.003981489087872067)</f>
        <v>-0.003981489088</v>
      </c>
      <c r="F58" s="6">
        <f>IFERROR(__xludf.DUMMYFUNCTION("""COMPUTED_VALUE"""),37654.0)</f>
        <v>37654</v>
      </c>
      <c r="G58" s="6">
        <f>IFERROR(__xludf.DUMMYFUNCTION("""COMPUTED_VALUE"""),37654.0)</f>
        <v>37654</v>
      </c>
      <c r="H58" s="6">
        <f>IFERROR(__xludf.DUMMYFUNCTION("""COMPUTED_VALUE"""),0.0)</f>
        <v>0</v>
      </c>
      <c r="I58" s="5" t="str">
        <f>IFERROR(__xludf.DUMMYFUNCTION("""COMPUTED_VALUE"""),"EXCEPTION")</f>
        <v>EXCEPTION</v>
      </c>
      <c r="J58" s="5" t="str">
        <f>IFERROR(__xludf.DUMMYFUNCTION("""COMPUTED_VALUE"""),"System Error")</f>
        <v>System Error</v>
      </c>
      <c r="K58" s="5" t="str">
        <f t="shared" si="1"/>
        <v>Escalate to tech team</v>
      </c>
      <c r="L58" s="5" t="str">
        <f>VLOOKUP(A58,LMS_Loan_Tape!A:Z,7,FALSE)</f>
        <v>Liquiloans</v>
      </c>
      <c r="M58" s="6">
        <f t="shared" si="2"/>
        <v>-727</v>
      </c>
      <c r="N58" s="5" t="str">
        <f>VLOOKUP(A58,LMS_Loan_Tape!A:Z,6,FALSE)</f>
        <v>Gold Loan</v>
      </c>
      <c r="O58" s="5">
        <f>VLOOKUP(A58, LMS_Loan_Tape!A57:Z1056,11,false)</f>
        <v>11</v>
      </c>
    </row>
    <row r="59">
      <c r="A59" s="5" t="str">
        <f>IFERROR(__xludf.DUMMYFUNCTION("""COMPUTED_VALUE"""),"LN-10220")</f>
        <v>LN-10220</v>
      </c>
      <c r="B59" s="6">
        <f>IFERROR(__xludf.DUMMYFUNCTION("""COMPUTED_VALUE"""),174227.0)</f>
        <v>174227</v>
      </c>
      <c r="C59" s="6">
        <f>IFERROR(__xludf.DUMMYFUNCTION("""COMPUTED_VALUE"""),174818.0)</f>
        <v>174818</v>
      </c>
      <c r="D59" s="6">
        <f>IFERROR(__xludf.DUMMYFUNCTION("""COMPUTED_VALUE"""),-591.0)</f>
        <v>-591</v>
      </c>
      <c r="E59" s="7">
        <f>IFERROR(__xludf.DUMMYFUNCTION("""COMPUTED_VALUE"""),-0.003392126363881603)</f>
        <v>-0.003392126364</v>
      </c>
      <c r="F59" s="6">
        <f>IFERROR(__xludf.DUMMYFUNCTION("""COMPUTED_VALUE"""),16761.0)</f>
        <v>16761</v>
      </c>
      <c r="G59" s="6">
        <f>IFERROR(__xludf.DUMMYFUNCTION("""COMPUTED_VALUE"""),16761.0)</f>
        <v>16761</v>
      </c>
      <c r="H59" s="6">
        <f>IFERROR(__xludf.DUMMYFUNCTION("""COMPUTED_VALUE"""),0.0)</f>
        <v>0</v>
      </c>
      <c r="I59" s="5" t="str">
        <f>IFERROR(__xludf.DUMMYFUNCTION("""COMPUTED_VALUE"""),"EXCEPTION")</f>
        <v>EXCEPTION</v>
      </c>
      <c r="J59" s="5" t="str">
        <f>IFERROR(__xludf.DUMMYFUNCTION("""COMPUTED_VALUE"""),"System Error")</f>
        <v>System Error</v>
      </c>
      <c r="K59" s="5" t="str">
        <f t="shared" si="1"/>
        <v>Escalate to tech team</v>
      </c>
      <c r="L59" s="5" t="str">
        <f>VLOOKUP(A59,LMS_Loan_Tape!A:Z,7,FALSE)</f>
        <v>Northern Arc</v>
      </c>
      <c r="M59" s="6">
        <f t="shared" si="2"/>
        <v>-591</v>
      </c>
      <c r="N59" s="5" t="str">
        <f>VLOOKUP(A59,LMS_Loan_Tape!A:Z,6,FALSE)</f>
        <v>Business Loan</v>
      </c>
      <c r="O59" s="5">
        <f>VLOOKUP(A59, LMS_Loan_Tape!A58:Z1057,11,false)</f>
        <v>6</v>
      </c>
    </row>
    <row r="60">
      <c r="A60" s="5" t="str">
        <f>IFERROR(__xludf.DUMMYFUNCTION("""COMPUTED_VALUE"""),"LN-10223")</f>
        <v>LN-10223</v>
      </c>
      <c r="B60" s="6">
        <f>IFERROR(__xludf.DUMMYFUNCTION("""COMPUTED_VALUE"""),95059.0)</f>
        <v>95059</v>
      </c>
      <c r="C60" s="6">
        <f>IFERROR(__xludf.DUMMYFUNCTION("""COMPUTED_VALUE"""),85553.0)</f>
        <v>85553</v>
      </c>
      <c r="D60" s="6">
        <f>IFERROR(__xludf.DUMMYFUNCTION("""COMPUTED_VALUE"""),9506.0)</f>
        <v>9506</v>
      </c>
      <c r="E60" s="7">
        <f>IFERROR(__xludf.DUMMYFUNCTION("""COMPUTED_VALUE"""),0.10000105197824509)</f>
        <v>0.100001052</v>
      </c>
      <c r="F60" s="6">
        <f>IFERROR(__xludf.DUMMYFUNCTION("""COMPUTED_VALUE"""),16553.0)</f>
        <v>16553</v>
      </c>
      <c r="G60" s="6">
        <f>IFERROR(__xludf.DUMMYFUNCTION("""COMPUTED_VALUE"""),8276.0)</f>
        <v>8276</v>
      </c>
      <c r="H60" s="6">
        <f>IFERROR(__xludf.DUMMYFUNCTION("""COMPUTED_VALUE"""),8277.0)</f>
        <v>8277</v>
      </c>
      <c r="I60" s="5" t="str">
        <f>IFERROR(__xludf.DUMMYFUNCTION("""COMPUTED_VALUE"""),"EXCEPTION")</f>
        <v>EXCEPTION</v>
      </c>
      <c r="J60" s="5" t="str">
        <f>IFERROR(__xludf.DUMMYFUNCTION("""COMPUTED_VALUE"""),"Waiver Applied")</f>
        <v>Waiver Applied</v>
      </c>
      <c r="K60" s="5" t="str">
        <f t="shared" si="1"/>
        <v>Verify approval, update ledger</v>
      </c>
      <c r="L60" s="5" t="str">
        <f>VLOOKUP(A60,LMS_Loan_Tape!A:Z,7,FALSE)</f>
        <v>Liquiloans</v>
      </c>
      <c r="M60" s="6">
        <f t="shared" si="2"/>
        <v>17783</v>
      </c>
      <c r="N60" s="5" t="str">
        <f>VLOOKUP(A60,LMS_Loan_Tape!A:Z,6,FALSE)</f>
        <v>Personal Loan</v>
      </c>
      <c r="O60" s="5">
        <f>VLOOKUP(A60, LMS_Loan_Tape!A59:Z1058,11,false)</f>
        <v>12</v>
      </c>
    </row>
    <row r="61">
      <c r="A61" s="5" t="str">
        <f>IFERROR(__xludf.DUMMYFUNCTION("""COMPUTED_VALUE"""),"LN-10224")</f>
        <v>LN-10224</v>
      </c>
      <c r="B61" s="6">
        <f>IFERROR(__xludf.DUMMYFUNCTION("""COMPUTED_VALUE"""),55054.0)</f>
        <v>55054</v>
      </c>
      <c r="C61" s="6">
        <f>IFERROR(__xludf.DUMMYFUNCTION("""COMPUTED_VALUE"""),57806.0)</f>
        <v>57806</v>
      </c>
      <c r="D61" s="6">
        <f>IFERROR(__xludf.DUMMYFUNCTION("""COMPUTED_VALUE"""),-2752.0)</f>
        <v>-2752</v>
      </c>
      <c r="E61" s="7">
        <f>IFERROR(__xludf.DUMMYFUNCTION("""COMPUTED_VALUE"""),-0.04998728521088386)</f>
        <v>-0.04998728521</v>
      </c>
      <c r="F61" s="6">
        <f>IFERROR(__xludf.DUMMYFUNCTION("""COMPUTED_VALUE"""),14790.0)</f>
        <v>14790</v>
      </c>
      <c r="G61" s="6">
        <f>IFERROR(__xludf.DUMMYFUNCTION("""COMPUTED_VALUE"""),14790.0)</f>
        <v>14790</v>
      </c>
      <c r="H61" s="6">
        <f>IFERROR(__xludf.DUMMYFUNCTION("""COMPUTED_VALUE"""),0.0)</f>
        <v>0</v>
      </c>
      <c r="I61" s="5" t="str">
        <f>IFERROR(__xludf.DUMMYFUNCTION("""COMPUTED_VALUE"""),"EXCEPTION")</f>
        <v>EXCEPTION</v>
      </c>
      <c r="J61" s="5" t="str">
        <f>IFERROR(__xludf.DUMMYFUNCTION("""COMPUTED_VALUE"""),"Rate Change")</f>
        <v>Rate Change</v>
      </c>
      <c r="K61" s="5" t="str">
        <f t="shared" si="1"/>
        <v>Update loan agreement</v>
      </c>
      <c r="L61" s="5" t="str">
        <f>VLOOKUP(A61,LMS_Loan_Tape!A:Z,7,FALSE)</f>
        <v>Liquiloans</v>
      </c>
      <c r="M61" s="6">
        <f t="shared" si="2"/>
        <v>-2752</v>
      </c>
      <c r="N61" s="5" t="str">
        <f>VLOOKUP(A61,LMS_Loan_Tape!A:Z,6,FALSE)</f>
        <v>Personal Loan</v>
      </c>
      <c r="O61" s="5">
        <f>VLOOKUP(A61, LMS_Loan_Tape!A60:Z1059,11,false)</f>
        <v>12</v>
      </c>
    </row>
    <row r="62">
      <c r="A62" s="5" t="str">
        <f>IFERROR(__xludf.DUMMYFUNCTION("""COMPUTED_VALUE"""),"LN-10229")</f>
        <v>LN-10229</v>
      </c>
      <c r="B62" s="6">
        <f>IFERROR(__xludf.DUMMYFUNCTION("""COMPUTED_VALUE"""),111104.0)</f>
        <v>111104</v>
      </c>
      <c r="C62" s="6">
        <f>IFERROR(__xludf.DUMMYFUNCTION("""COMPUTED_VALUE"""),66662.0)</f>
        <v>66662</v>
      </c>
      <c r="D62" s="6">
        <f>IFERROR(__xludf.DUMMYFUNCTION("""COMPUTED_VALUE"""),44442.0)</f>
        <v>44442</v>
      </c>
      <c r="E62" s="7">
        <f>IFERROR(__xludf.DUMMYFUNCTION("""COMPUTED_VALUE"""),0.40000360023041476)</f>
        <v>0.4000036002</v>
      </c>
      <c r="F62" s="6">
        <f>IFERROR(__xludf.DUMMYFUNCTION("""COMPUTED_VALUE"""),23932.0)</f>
        <v>23932</v>
      </c>
      <c r="G62" s="6">
        <f>IFERROR(__xludf.DUMMYFUNCTION("""COMPUTED_VALUE"""),23932.0)</f>
        <v>23932</v>
      </c>
      <c r="H62" s="6">
        <f>IFERROR(__xludf.DUMMYFUNCTION("""COMPUTED_VALUE"""),0.0)</f>
        <v>0</v>
      </c>
      <c r="I62" s="5" t="str">
        <f>IFERROR(__xludf.DUMMYFUNCTION("""COMPUTED_VALUE"""),"EXCEPTION")</f>
        <v>EXCEPTION</v>
      </c>
      <c r="J62" s="5" t="str">
        <f>IFERROR(__xludf.DUMMYFUNCTION("""COMPUTED_VALUE"""),"Partial Payment")</f>
        <v>Partial Payment</v>
      </c>
      <c r="K62" s="5" t="str">
        <f t="shared" si="1"/>
        <v>Contact customer for balance</v>
      </c>
      <c r="L62" s="5" t="str">
        <f>VLOOKUP(A62,LMS_Loan_Tape!A:Z,7,FALSE)</f>
        <v>Piramal</v>
      </c>
      <c r="M62" s="6">
        <f t="shared" si="2"/>
        <v>44442</v>
      </c>
      <c r="N62" s="5" t="str">
        <f>VLOOKUP(A62,LMS_Loan_Tape!A:Z,6,FALSE)</f>
        <v>Gold Loan</v>
      </c>
      <c r="O62" s="5">
        <f>VLOOKUP(A62, LMS_Loan_Tape!A61:Z1060,11,false)</f>
        <v>10</v>
      </c>
    </row>
    <row r="63">
      <c r="A63" s="5" t="str">
        <f>IFERROR(__xludf.DUMMYFUNCTION("""COMPUTED_VALUE"""),"LN-10230")</f>
        <v>LN-10230</v>
      </c>
      <c r="B63" s="6">
        <f>IFERROR(__xludf.DUMMYFUNCTION("""COMPUTED_VALUE"""),61370.0)</f>
        <v>61370</v>
      </c>
      <c r="C63" s="6">
        <f>IFERROR(__xludf.DUMMYFUNCTION("""COMPUTED_VALUE"""),61784.0)</f>
        <v>61784</v>
      </c>
      <c r="D63" s="6">
        <f>IFERROR(__xludf.DUMMYFUNCTION("""COMPUTED_VALUE"""),-414.0)</f>
        <v>-414</v>
      </c>
      <c r="E63" s="7">
        <f>IFERROR(__xludf.DUMMYFUNCTION("""COMPUTED_VALUE"""),-0.0067459670848948996)</f>
        <v>-0.006745967085</v>
      </c>
      <c r="F63" s="6">
        <f>IFERROR(__xludf.DUMMYFUNCTION("""COMPUTED_VALUE"""),4701.0)</f>
        <v>4701</v>
      </c>
      <c r="G63" s="6">
        <f>IFERROR(__xludf.DUMMYFUNCTION("""COMPUTED_VALUE"""),4701.0)</f>
        <v>4701</v>
      </c>
      <c r="H63" s="6">
        <f>IFERROR(__xludf.DUMMYFUNCTION("""COMPUTED_VALUE"""),0.0)</f>
        <v>0</v>
      </c>
      <c r="I63" s="5" t="str">
        <f>IFERROR(__xludf.DUMMYFUNCTION("""COMPUTED_VALUE"""),"EXCEPTION")</f>
        <v>EXCEPTION</v>
      </c>
      <c r="J63" s="5" t="str">
        <f>IFERROR(__xludf.DUMMYFUNCTION("""COMPUTED_VALUE"""),"System Error")</f>
        <v>System Error</v>
      </c>
      <c r="K63" s="5" t="str">
        <f t="shared" si="1"/>
        <v>Escalate to tech team</v>
      </c>
      <c r="L63" s="5" t="str">
        <f>VLOOKUP(A63,LMS_Loan_Tape!A:Z,7,FALSE)</f>
        <v>DMI</v>
      </c>
      <c r="M63" s="6">
        <f t="shared" si="2"/>
        <v>-414</v>
      </c>
      <c r="N63" s="5" t="str">
        <f>VLOOKUP(A63,LMS_Loan_Tape!A:Z,6,FALSE)</f>
        <v>Home Loan</v>
      </c>
      <c r="O63" s="5">
        <f>VLOOKUP(A63, LMS_Loan_Tape!A62:Z1061,11,false)</f>
        <v>2</v>
      </c>
    </row>
    <row r="64">
      <c r="A64" s="5" t="str">
        <f>IFERROR(__xludf.DUMMYFUNCTION("""COMPUTED_VALUE"""),"LN-10231")</f>
        <v>LN-10231</v>
      </c>
      <c r="B64" s="6">
        <f>IFERROR(__xludf.DUMMYFUNCTION("""COMPUTED_VALUE"""),69133.0)</f>
        <v>69133</v>
      </c>
      <c r="C64" s="6">
        <f>IFERROR(__xludf.DUMMYFUNCTION("""COMPUTED_VALUE"""),69133.0)</f>
        <v>69133</v>
      </c>
      <c r="D64" s="6">
        <f>IFERROR(__xludf.DUMMYFUNCTION("""COMPUTED_VALUE"""),0.0)</f>
        <v>0</v>
      </c>
      <c r="E64" s="7">
        <f>IFERROR(__xludf.DUMMYFUNCTION("""COMPUTED_VALUE"""),0.0)</f>
        <v>0</v>
      </c>
      <c r="F64" s="6">
        <f>IFERROR(__xludf.DUMMYFUNCTION("""COMPUTED_VALUE"""),11394.0)</f>
        <v>11394</v>
      </c>
      <c r="G64" s="6">
        <f>IFERROR(__xludf.DUMMYFUNCTION("""COMPUTED_VALUE"""),11280.0)</f>
        <v>11280</v>
      </c>
      <c r="H64" s="6">
        <f>IFERROR(__xludf.DUMMYFUNCTION("""COMPUTED_VALUE"""),114.0)</f>
        <v>114</v>
      </c>
      <c r="I64" s="5" t="str">
        <f>IFERROR(__xludf.DUMMYFUNCTION("""COMPUTED_VALUE"""),"EXCEPTION")</f>
        <v>EXCEPTION</v>
      </c>
      <c r="J64" s="5"/>
      <c r="K64" s="5" t="str">
        <f t="shared" si="1"/>
        <v/>
      </c>
      <c r="L64" s="5" t="str">
        <f>VLOOKUP(A64,LMS_Loan_Tape!A:Z,7,FALSE)</f>
        <v>Northern Arc</v>
      </c>
      <c r="M64" s="6">
        <f t="shared" si="2"/>
        <v>114</v>
      </c>
      <c r="N64" s="5" t="str">
        <f>VLOOKUP(A64,LMS_Loan_Tape!A:Z,6,FALSE)</f>
        <v>Business Loan</v>
      </c>
      <c r="O64" s="5">
        <f>VLOOKUP(A64, LMS_Loan_Tape!A63:Z1062,11,false)</f>
        <v>7</v>
      </c>
    </row>
    <row r="65">
      <c r="A65" s="5" t="str">
        <f>IFERROR(__xludf.DUMMYFUNCTION("""COMPUTED_VALUE"""),"LN-10233")</f>
        <v>LN-10233</v>
      </c>
      <c r="B65" s="6">
        <f>IFERROR(__xludf.DUMMYFUNCTION("""COMPUTED_VALUE"""),59548.0)</f>
        <v>59548</v>
      </c>
      <c r="C65" s="6">
        <f>IFERROR(__xludf.DUMMYFUNCTION("""COMPUTED_VALUE"""),59548.0)</f>
        <v>59548</v>
      </c>
      <c r="D65" s="6">
        <f>IFERROR(__xludf.DUMMYFUNCTION("""COMPUTED_VALUE"""),0.0)</f>
        <v>0</v>
      </c>
      <c r="E65" s="7">
        <f>IFERROR(__xludf.DUMMYFUNCTION("""COMPUTED_VALUE"""),0.0)</f>
        <v>0</v>
      </c>
      <c r="F65" s="6">
        <f>IFERROR(__xludf.DUMMYFUNCTION("""COMPUTED_VALUE"""),22358.0)</f>
        <v>22358</v>
      </c>
      <c r="G65" s="6">
        <f>IFERROR(__xludf.DUMMYFUNCTION("""COMPUTED_VALUE"""),22134.0)</f>
        <v>22134</v>
      </c>
      <c r="H65" s="6">
        <f>IFERROR(__xludf.DUMMYFUNCTION("""COMPUTED_VALUE"""),224.0)</f>
        <v>224</v>
      </c>
      <c r="I65" s="5" t="str">
        <f>IFERROR(__xludf.DUMMYFUNCTION("""COMPUTED_VALUE"""),"EXCEPTION")</f>
        <v>EXCEPTION</v>
      </c>
      <c r="J65" s="5"/>
      <c r="K65" s="5" t="str">
        <f t="shared" si="1"/>
        <v/>
      </c>
      <c r="L65" s="5" t="str">
        <f>VLOOKUP(A65,LMS_Loan_Tape!A:Z,7,FALSE)</f>
        <v>Northern Arc</v>
      </c>
      <c r="M65" s="6">
        <f t="shared" si="2"/>
        <v>224</v>
      </c>
      <c r="N65" s="5" t="str">
        <f>VLOOKUP(A65,LMS_Loan_Tape!A:Z,6,FALSE)</f>
        <v>Home Loan</v>
      </c>
      <c r="O65" s="5">
        <f>VLOOKUP(A65, LMS_Loan_Tape!A64:Z1063,11,false)</f>
        <v>1</v>
      </c>
    </row>
    <row r="66">
      <c r="A66" s="5" t="str">
        <f>IFERROR(__xludf.DUMMYFUNCTION("""COMPUTED_VALUE"""),"LN-10240")</f>
        <v>LN-10240</v>
      </c>
      <c r="B66" s="6">
        <f>IFERROR(__xludf.DUMMYFUNCTION("""COMPUTED_VALUE"""),32332.0)</f>
        <v>32332</v>
      </c>
      <c r="C66" s="6">
        <f>IFERROR(__xludf.DUMMYFUNCTION("""COMPUTED_VALUE"""),31685.0)</f>
        <v>31685</v>
      </c>
      <c r="D66" s="6">
        <f>IFERROR(__xludf.DUMMYFUNCTION("""COMPUTED_VALUE"""),647.0)</f>
        <v>647</v>
      </c>
      <c r="E66" s="7">
        <f>IFERROR(__xludf.DUMMYFUNCTION("""COMPUTED_VALUE"""),0.02001113447977236)</f>
        <v>0.02001113448</v>
      </c>
      <c r="F66" s="6">
        <f>IFERROR(__xludf.DUMMYFUNCTION("""COMPUTED_VALUE"""),3140.0)</f>
        <v>3140</v>
      </c>
      <c r="G66" s="6">
        <f>IFERROR(__xludf.DUMMYFUNCTION("""COMPUTED_VALUE"""),3140.0)</f>
        <v>3140</v>
      </c>
      <c r="H66" s="6">
        <f>IFERROR(__xludf.DUMMYFUNCTION("""COMPUTED_VALUE"""),0.0)</f>
        <v>0</v>
      </c>
      <c r="I66" s="5" t="str">
        <f>IFERROR(__xludf.DUMMYFUNCTION("""COMPUTED_VALUE"""),"EXCEPTION")</f>
        <v>EXCEPTION</v>
      </c>
      <c r="J66" s="5"/>
      <c r="K66" s="5" t="str">
        <f t="shared" si="1"/>
        <v/>
      </c>
      <c r="L66" s="5" t="str">
        <f>VLOOKUP(A66,LMS_Loan_Tape!A:Z,7,FALSE)</f>
        <v>Tata Capital</v>
      </c>
      <c r="M66" s="6">
        <f t="shared" si="2"/>
        <v>647</v>
      </c>
      <c r="N66" s="5" t="str">
        <f>VLOOKUP(A66,LMS_Loan_Tape!A:Z,6,FALSE)</f>
        <v>Business Loan</v>
      </c>
      <c r="O66" s="5">
        <f>VLOOKUP(A66, LMS_Loan_Tape!A65:Z1064,11,false)</f>
        <v>1</v>
      </c>
    </row>
    <row r="67">
      <c r="A67" s="5" t="str">
        <f>IFERROR(__xludf.DUMMYFUNCTION("""COMPUTED_VALUE"""),"LN-10241")</f>
        <v>LN-10241</v>
      </c>
      <c r="B67" s="6">
        <f>IFERROR(__xludf.DUMMYFUNCTION("""COMPUTED_VALUE"""),307415.0)</f>
        <v>307415</v>
      </c>
      <c r="C67" s="6">
        <f>IFERROR(__xludf.DUMMYFUNCTION("""COMPUTED_VALUE"""),184449.0)</f>
        <v>184449</v>
      </c>
      <c r="D67" s="6">
        <f>IFERROR(__xludf.DUMMYFUNCTION("""COMPUTED_VALUE"""),122966.0)</f>
        <v>122966</v>
      </c>
      <c r="E67" s="7">
        <f>IFERROR(__xludf.DUMMYFUNCTION("""COMPUTED_VALUE"""),0.4)</f>
        <v>0.4</v>
      </c>
      <c r="F67" s="6">
        <f>IFERROR(__xludf.DUMMYFUNCTION("""COMPUTED_VALUE"""),26739.0)</f>
        <v>26739</v>
      </c>
      <c r="G67" s="6">
        <f>IFERROR(__xludf.DUMMYFUNCTION("""COMPUTED_VALUE"""),26739.0)</f>
        <v>26739</v>
      </c>
      <c r="H67" s="6">
        <f>IFERROR(__xludf.DUMMYFUNCTION("""COMPUTED_VALUE"""),0.0)</f>
        <v>0</v>
      </c>
      <c r="I67" s="5" t="str">
        <f>IFERROR(__xludf.DUMMYFUNCTION("""COMPUTED_VALUE"""),"EXCEPTION")</f>
        <v>EXCEPTION</v>
      </c>
      <c r="J67" s="5" t="str">
        <f>IFERROR(__xludf.DUMMYFUNCTION("""COMPUTED_VALUE"""),"Partial Payment")</f>
        <v>Partial Payment</v>
      </c>
      <c r="K67" s="5" t="str">
        <f t="shared" si="1"/>
        <v>Contact customer for balance</v>
      </c>
      <c r="L67" s="5" t="str">
        <f>VLOOKUP(A67,LMS_Loan_Tape!A:Z,7,FALSE)</f>
        <v>Piramal</v>
      </c>
      <c r="M67" s="6">
        <f t="shared" si="2"/>
        <v>122966</v>
      </c>
      <c r="N67" s="5" t="str">
        <f>VLOOKUP(A67,LMS_Loan_Tape!A:Z,6,FALSE)</f>
        <v>Home Loan</v>
      </c>
      <c r="O67" s="5">
        <f>VLOOKUP(A67, LMS_Loan_Tape!A66:Z1065,11,false)</f>
        <v>12</v>
      </c>
    </row>
    <row r="68">
      <c r="A68" s="5" t="str">
        <f>IFERROR(__xludf.DUMMYFUNCTION("""COMPUTED_VALUE"""),"LN-10242")</f>
        <v>LN-10242</v>
      </c>
      <c r="B68" s="6">
        <f>IFERROR(__xludf.DUMMYFUNCTION("""COMPUTED_VALUE"""),56302.0)</f>
        <v>56302</v>
      </c>
      <c r="C68" s="6">
        <f>IFERROR(__xludf.DUMMYFUNCTION("""COMPUTED_VALUE"""),55175.0)</f>
        <v>55175</v>
      </c>
      <c r="D68" s="6">
        <f>IFERROR(__xludf.DUMMYFUNCTION("""COMPUTED_VALUE"""),1127.0)</f>
        <v>1127</v>
      </c>
      <c r="E68" s="7">
        <f>IFERROR(__xludf.DUMMYFUNCTION("""COMPUTED_VALUE"""),0.020017050904053143)</f>
        <v>0.0200170509</v>
      </c>
      <c r="F68" s="6">
        <f>IFERROR(__xludf.DUMMYFUNCTION("""COMPUTED_VALUE"""),5849.0)</f>
        <v>5849</v>
      </c>
      <c r="G68" s="6">
        <f>IFERROR(__xludf.DUMMYFUNCTION("""COMPUTED_VALUE"""),5849.0)</f>
        <v>5849</v>
      </c>
      <c r="H68" s="6">
        <f>IFERROR(__xludf.DUMMYFUNCTION("""COMPUTED_VALUE"""),0.0)</f>
        <v>0</v>
      </c>
      <c r="I68" s="5" t="str">
        <f>IFERROR(__xludf.DUMMYFUNCTION("""COMPUTED_VALUE"""),"EXCEPTION")</f>
        <v>EXCEPTION</v>
      </c>
      <c r="J68" s="5"/>
      <c r="K68" s="5" t="str">
        <f t="shared" si="1"/>
        <v/>
      </c>
      <c r="L68" s="5" t="str">
        <f>VLOOKUP(A68,LMS_Loan_Tape!A:Z,7,FALSE)</f>
        <v>Piramal</v>
      </c>
      <c r="M68" s="6">
        <f t="shared" si="2"/>
        <v>1127</v>
      </c>
      <c r="N68" s="5" t="str">
        <f>VLOOKUP(A68,LMS_Loan_Tape!A:Z,6,FALSE)</f>
        <v>Home Loan</v>
      </c>
      <c r="O68" s="5">
        <f>VLOOKUP(A68, LMS_Loan_Tape!A67:Z1066,11,false)</f>
        <v>1</v>
      </c>
    </row>
    <row r="69">
      <c r="A69" s="5" t="str">
        <f>IFERROR(__xludf.DUMMYFUNCTION("""COMPUTED_VALUE"""),"LN-10245")</f>
        <v>LN-10245</v>
      </c>
      <c r="B69" s="6">
        <f>IFERROR(__xludf.DUMMYFUNCTION("""COMPUTED_VALUE"""),28873.0)</f>
        <v>28873</v>
      </c>
      <c r="C69" s="6">
        <f>IFERROR(__xludf.DUMMYFUNCTION("""COMPUTED_VALUE"""),28295.0)</f>
        <v>28295</v>
      </c>
      <c r="D69" s="6">
        <f>IFERROR(__xludf.DUMMYFUNCTION("""COMPUTED_VALUE"""),578.0)</f>
        <v>578</v>
      </c>
      <c r="E69" s="7">
        <f>IFERROR(__xludf.DUMMYFUNCTION("""COMPUTED_VALUE"""),0.020018702594119073)</f>
        <v>0.02001870259</v>
      </c>
      <c r="F69" s="6">
        <f>IFERROR(__xludf.DUMMYFUNCTION("""COMPUTED_VALUE"""),4885.0)</f>
        <v>4885</v>
      </c>
      <c r="G69" s="6">
        <f>IFERROR(__xludf.DUMMYFUNCTION("""COMPUTED_VALUE"""),4885.0)</f>
        <v>4885</v>
      </c>
      <c r="H69" s="6">
        <f>IFERROR(__xludf.DUMMYFUNCTION("""COMPUTED_VALUE"""),0.0)</f>
        <v>0</v>
      </c>
      <c r="I69" s="5" t="str">
        <f>IFERROR(__xludf.DUMMYFUNCTION("""COMPUTED_VALUE"""),"EXCEPTION")</f>
        <v>EXCEPTION</v>
      </c>
      <c r="J69" s="5"/>
      <c r="K69" s="5" t="str">
        <f t="shared" si="1"/>
        <v/>
      </c>
      <c r="L69" s="5" t="str">
        <f>VLOOKUP(A69,LMS_Loan_Tape!A:Z,7,FALSE)</f>
        <v>Liquiloans</v>
      </c>
      <c r="M69" s="6">
        <f t="shared" si="2"/>
        <v>578</v>
      </c>
      <c r="N69" s="5" t="str">
        <f>VLOOKUP(A69,LMS_Loan_Tape!A:Z,6,FALSE)</f>
        <v>Personal Loan</v>
      </c>
      <c r="O69" s="5">
        <f>VLOOKUP(A69, LMS_Loan_Tape!A68:Z1067,11,false)</f>
        <v>8</v>
      </c>
    </row>
    <row r="70">
      <c r="A70" s="5" t="str">
        <f>IFERROR(__xludf.DUMMYFUNCTION("""COMPUTED_VALUE"""),"LN-10249")</f>
        <v>LN-10249</v>
      </c>
      <c r="B70" s="6">
        <f>IFERROR(__xludf.DUMMYFUNCTION("""COMPUTED_VALUE"""),138528.0)</f>
        <v>138528</v>
      </c>
      <c r="C70" s="6">
        <f>IFERROR(__xludf.DUMMYFUNCTION("""COMPUTED_VALUE"""),138973.0)</f>
        <v>138973</v>
      </c>
      <c r="D70" s="6">
        <f>IFERROR(__xludf.DUMMYFUNCTION("""COMPUTED_VALUE"""),-445.0)</f>
        <v>-445</v>
      </c>
      <c r="E70" s="7">
        <f>IFERROR(__xludf.DUMMYFUNCTION("""COMPUTED_VALUE"""),-0.003212346962346962)</f>
        <v>-0.003212346962</v>
      </c>
      <c r="F70" s="6">
        <f>IFERROR(__xludf.DUMMYFUNCTION("""COMPUTED_VALUE"""),29320.0)</f>
        <v>29320</v>
      </c>
      <c r="G70" s="6">
        <f>IFERROR(__xludf.DUMMYFUNCTION("""COMPUTED_VALUE"""),29320.0)</f>
        <v>29320</v>
      </c>
      <c r="H70" s="6">
        <f>IFERROR(__xludf.DUMMYFUNCTION("""COMPUTED_VALUE"""),0.0)</f>
        <v>0</v>
      </c>
      <c r="I70" s="5" t="str">
        <f>IFERROR(__xludf.DUMMYFUNCTION("""COMPUTED_VALUE"""),"EXCEPTION")</f>
        <v>EXCEPTION</v>
      </c>
      <c r="J70" s="5" t="str">
        <f>IFERROR(__xludf.DUMMYFUNCTION("""COMPUTED_VALUE"""),"System Error")</f>
        <v>System Error</v>
      </c>
      <c r="K70" s="5" t="str">
        <f t="shared" si="1"/>
        <v>Escalate to tech team</v>
      </c>
      <c r="L70" s="5" t="str">
        <f>VLOOKUP(A70,LMS_Loan_Tape!A:Z,7,FALSE)</f>
        <v>Tata Capital</v>
      </c>
      <c r="M70" s="6">
        <f t="shared" si="2"/>
        <v>-445</v>
      </c>
      <c r="N70" s="5" t="str">
        <f>VLOOKUP(A70,LMS_Loan_Tape!A:Z,6,FALSE)</f>
        <v>Home Loan</v>
      </c>
      <c r="O70" s="5">
        <f>VLOOKUP(A70, LMS_Loan_Tape!A69:Z1068,11,false)</f>
        <v>11</v>
      </c>
    </row>
    <row r="71">
      <c r="A71" s="5" t="str">
        <f>IFERROR(__xludf.DUMMYFUNCTION("""COMPUTED_VALUE"""),"LN-10250")</f>
        <v>LN-10250</v>
      </c>
      <c r="B71" s="6">
        <f>IFERROR(__xludf.DUMMYFUNCTION("""COMPUTED_VALUE"""),312120.0)</f>
        <v>312120</v>
      </c>
      <c r="C71" s="6">
        <f>IFERROR(__xludf.DUMMYFUNCTION("""COMPUTED_VALUE"""),312120.0)</f>
        <v>312120</v>
      </c>
      <c r="D71" s="6">
        <f>IFERROR(__xludf.DUMMYFUNCTION("""COMPUTED_VALUE"""),0.0)</f>
        <v>0</v>
      </c>
      <c r="E71" s="7">
        <f>IFERROR(__xludf.DUMMYFUNCTION("""COMPUTED_VALUE"""),0.0)</f>
        <v>0</v>
      </c>
      <c r="F71" s="6">
        <f>IFERROR(__xludf.DUMMYFUNCTION("""COMPUTED_VALUE"""),26366.0)</f>
        <v>26366</v>
      </c>
      <c r="G71" s="6">
        <f>IFERROR(__xludf.DUMMYFUNCTION("""COMPUTED_VALUE"""),26102.0)</f>
        <v>26102</v>
      </c>
      <c r="H71" s="6">
        <f>IFERROR(__xludf.DUMMYFUNCTION("""COMPUTED_VALUE"""),264.0)</f>
        <v>264</v>
      </c>
      <c r="I71" s="5" t="str">
        <f>IFERROR(__xludf.DUMMYFUNCTION("""COMPUTED_VALUE"""),"EXCEPTION")</f>
        <v>EXCEPTION</v>
      </c>
      <c r="J71" s="5"/>
      <c r="K71" s="5" t="str">
        <f t="shared" si="1"/>
        <v/>
      </c>
      <c r="L71" s="5" t="str">
        <f>VLOOKUP(A71,LMS_Loan_Tape!A:Z,7,FALSE)</f>
        <v>Piramal</v>
      </c>
      <c r="M71" s="6">
        <f t="shared" si="2"/>
        <v>264</v>
      </c>
      <c r="N71" s="5" t="str">
        <f>VLOOKUP(A71,LMS_Loan_Tape!A:Z,6,FALSE)</f>
        <v>Home Loan</v>
      </c>
      <c r="O71" s="5">
        <f>VLOOKUP(A71, LMS_Loan_Tape!A70:Z1069,11,false)</f>
        <v>12</v>
      </c>
    </row>
    <row r="72">
      <c r="A72" s="5" t="str">
        <f>IFERROR(__xludf.DUMMYFUNCTION("""COMPUTED_VALUE"""),"LN-10252")</f>
        <v>LN-10252</v>
      </c>
      <c r="B72" s="6">
        <f>IFERROR(__xludf.DUMMYFUNCTION("""COMPUTED_VALUE"""),29041.0)</f>
        <v>29041</v>
      </c>
      <c r="C72" s="6">
        <f>IFERROR(__xludf.DUMMYFUNCTION("""COMPUTED_VALUE"""),23232.0)</f>
        <v>23232</v>
      </c>
      <c r="D72" s="6">
        <f>IFERROR(__xludf.DUMMYFUNCTION("""COMPUTED_VALUE"""),5809.0)</f>
        <v>5809</v>
      </c>
      <c r="E72" s="7">
        <f>IFERROR(__xludf.DUMMYFUNCTION("""COMPUTED_VALUE"""),0.20002754726076927)</f>
        <v>0.2000275473</v>
      </c>
      <c r="F72" s="6">
        <f>IFERROR(__xludf.DUMMYFUNCTION("""COMPUTED_VALUE"""),6557.0)</f>
        <v>6557</v>
      </c>
      <c r="G72" s="6">
        <f>IFERROR(__xludf.DUMMYFUNCTION("""COMPUTED_VALUE"""),6557.0)</f>
        <v>6557</v>
      </c>
      <c r="H72" s="6">
        <f>IFERROR(__xludf.DUMMYFUNCTION("""COMPUTED_VALUE"""),0.0)</f>
        <v>0</v>
      </c>
      <c r="I72" s="5" t="str">
        <f>IFERROR(__xludf.DUMMYFUNCTION("""COMPUTED_VALUE"""),"EXCEPTION")</f>
        <v>EXCEPTION</v>
      </c>
      <c r="J72" s="5" t="str">
        <f>IFERROR(__xludf.DUMMYFUNCTION("""COMPUTED_VALUE"""),"Prepayment")</f>
        <v>Prepayment</v>
      </c>
      <c r="K72" s="5" t="str">
        <f t="shared" si="1"/>
        <v>Update schedule, recalculate interest</v>
      </c>
      <c r="L72" s="5" t="str">
        <f>VLOOKUP(A72,LMS_Loan_Tape!A:Z,7,FALSE)</f>
        <v>Liquiloans</v>
      </c>
      <c r="M72" s="6">
        <f t="shared" si="2"/>
        <v>5809</v>
      </c>
      <c r="N72" s="5" t="str">
        <f>VLOOKUP(A72,LMS_Loan_Tape!A:Z,6,FALSE)</f>
        <v>Business Loan</v>
      </c>
      <c r="O72" s="5">
        <f>VLOOKUP(A72, LMS_Loan_Tape!A71:Z1070,11,false)</f>
        <v>10</v>
      </c>
    </row>
    <row r="73">
      <c r="A73" s="5" t="str">
        <f>IFERROR(__xludf.DUMMYFUNCTION("""COMPUTED_VALUE"""),"LN-10254")</f>
        <v>LN-10254</v>
      </c>
      <c r="B73" s="6">
        <f>IFERROR(__xludf.DUMMYFUNCTION("""COMPUTED_VALUE"""),149578.0)</f>
        <v>149578</v>
      </c>
      <c r="C73" s="6">
        <f>IFERROR(__xludf.DUMMYFUNCTION("""COMPUTED_VALUE"""),149578.0)</f>
        <v>149578</v>
      </c>
      <c r="D73" s="6">
        <f>IFERROR(__xludf.DUMMYFUNCTION("""COMPUTED_VALUE"""),0.0)</f>
        <v>0</v>
      </c>
      <c r="E73" s="7">
        <f>IFERROR(__xludf.DUMMYFUNCTION("""COMPUTED_VALUE"""),0.0)</f>
        <v>0</v>
      </c>
      <c r="F73" s="6">
        <f>IFERROR(__xludf.DUMMYFUNCTION("""COMPUTED_VALUE"""),16556.0)</f>
        <v>16556</v>
      </c>
      <c r="G73" s="6">
        <f>IFERROR(__xludf.DUMMYFUNCTION("""COMPUTED_VALUE"""),16390.0)</f>
        <v>16390</v>
      </c>
      <c r="H73" s="6">
        <f>IFERROR(__xludf.DUMMYFUNCTION("""COMPUTED_VALUE"""),166.0)</f>
        <v>166</v>
      </c>
      <c r="I73" s="5" t="str">
        <f>IFERROR(__xludf.DUMMYFUNCTION("""COMPUTED_VALUE"""),"EXCEPTION")</f>
        <v>EXCEPTION</v>
      </c>
      <c r="J73" s="5"/>
      <c r="K73" s="5" t="str">
        <f t="shared" si="1"/>
        <v/>
      </c>
      <c r="L73" s="5" t="str">
        <f>VLOOKUP(A73,LMS_Loan_Tape!A:Z,7,FALSE)</f>
        <v>Northern Arc</v>
      </c>
      <c r="M73" s="6">
        <f t="shared" si="2"/>
        <v>166</v>
      </c>
      <c r="N73" s="5" t="str">
        <f>VLOOKUP(A73,LMS_Loan_Tape!A:Z,6,FALSE)</f>
        <v>Business Loan</v>
      </c>
      <c r="O73" s="5">
        <f>VLOOKUP(A73, LMS_Loan_Tape!A72:Z1071,11,false)</f>
        <v>2</v>
      </c>
    </row>
    <row r="74">
      <c r="A74" s="5" t="str">
        <f>IFERROR(__xludf.DUMMYFUNCTION("""COMPUTED_VALUE"""),"LN-10255")</f>
        <v>LN-10255</v>
      </c>
      <c r="B74" s="6">
        <f>IFERROR(__xludf.DUMMYFUNCTION("""COMPUTED_VALUE"""),133519.0)</f>
        <v>133519</v>
      </c>
      <c r="C74" s="6">
        <f>IFERROR(__xludf.DUMMYFUNCTION("""COMPUTED_VALUE"""),133519.0)</f>
        <v>133519</v>
      </c>
      <c r="D74" s="6">
        <f>IFERROR(__xludf.DUMMYFUNCTION("""COMPUTED_VALUE"""),0.0)</f>
        <v>0</v>
      </c>
      <c r="E74" s="7">
        <f>IFERROR(__xludf.DUMMYFUNCTION("""COMPUTED_VALUE"""),0.0)</f>
        <v>0</v>
      </c>
      <c r="F74" s="6">
        <f>IFERROR(__xludf.DUMMYFUNCTION("""COMPUTED_VALUE"""),9358.0)</f>
        <v>9358</v>
      </c>
      <c r="G74" s="6">
        <f>IFERROR(__xludf.DUMMYFUNCTION("""COMPUTED_VALUE"""),9264.0)</f>
        <v>9264</v>
      </c>
      <c r="H74" s="6">
        <f>IFERROR(__xludf.DUMMYFUNCTION("""COMPUTED_VALUE"""),94.0)</f>
        <v>94</v>
      </c>
      <c r="I74" s="5" t="str">
        <f>IFERROR(__xludf.DUMMYFUNCTION("""COMPUTED_VALUE"""),"EXCEPTION")</f>
        <v>EXCEPTION</v>
      </c>
      <c r="J74" s="5"/>
      <c r="K74" s="5" t="str">
        <f t="shared" si="1"/>
        <v/>
      </c>
      <c r="L74" s="5" t="str">
        <f>VLOOKUP(A74,LMS_Loan_Tape!A:Z,7,FALSE)</f>
        <v>Northern Arc</v>
      </c>
      <c r="M74" s="6">
        <f t="shared" si="2"/>
        <v>94</v>
      </c>
      <c r="N74" s="5" t="str">
        <f>VLOOKUP(A74,LMS_Loan_Tape!A:Z,6,FALSE)</f>
        <v>Personal Loan</v>
      </c>
      <c r="O74" s="5">
        <f>VLOOKUP(A74, LMS_Loan_Tape!A73:Z1072,11,false)</f>
        <v>3</v>
      </c>
    </row>
    <row r="75">
      <c r="A75" s="5" t="str">
        <f>IFERROR(__xludf.DUMMYFUNCTION("""COMPUTED_VALUE"""),"LN-10257")</f>
        <v>LN-10257</v>
      </c>
      <c r="B75" s="6">
        <f>IFERROR(__xludf.DUMMYFUNCTION("""COMPUTED_VALUE"""),98446.0)</f>
        <v>98446</v>
      </c>
      <c r="C75" s="6">
        <f>IFERROR(__xludf.DUMMYFUNCTION("""COMPUTED_VALUE"""),59067.0)</f>
        <v>59067</v>
      </c>
      <c r="D75" s="6">
        <f>IFERROR(__xludf.DUMMYFUNCTION("""COMPUTED_VALUE"""),39379.0)</f>
        <v>39379</v>
      </c>
      <c r="E75" s="7">
        <f>IFERROR(__xludf.DUMMYFUNCTION("""COMPUTED_VALUE"""),0.4000060947118217)</f>
        <v>0.4000060947</v>
      </c>
      <c r="F75" s="6">
        <f>IFERROR(__xludf.DUMMYFUNCTION("""COMPUTED_VALUE"""),9287.0)</f>
        <v>9287</v>
      </c>
      <c r="G75" s="6">
        <f>IFERROR(__xludf.DUMMYFUNCTION("""COMPUTED_VALUE"""),9287.0)</f>
        <v>9287</v>
      </c>
      <c r="H75" s="6">
        <f>IFERROR(__xludf.DUMMYFUNCTION("""COMPUTED_VALUE"""),0.0)</f>
        <v>0</v>
      </c>
      <c r="I75" s="5" t="str">
        <f>IFERROR(__xludf.DUMMYFUNCTION("""COMPUTED_VALUE"""),"EXCEPTION")</f>
        <v>EXCEPTION</v>
      </c>
      <c r="J75" s="5" t="str">
        <f>IFERROR(__xludf.DUMMYFUNCTION("""COMPUTED_VALUE"""),"Partial Payment")</f>
        <v>Partial Payment</v>
      </c>
      <c r="K75" s="5" t="str">
        <f t="shared" si="1"/>
        <v>Contact customer for balance</v>
      </c>
      <c r="L75" s="5" t="str">
        <f>VLOOKUP(A75,LMS_Loan_Tape!A:Z,7,FALSE)</f>
        <v>DMI</v>
      </c>
      <c r="M75" s="6">
        <f t="shared" si="2"/>
        <v>39379</v>
      </c>
      <c r="N75" s="5" t="str">
        <f>VLOOKUP(A75,LMS_Loan_Tape!A:Z,6,FALSE)</f>
        <v>Personal Loan</v>
      </c>
      <c r="O75" s="5">
        <f>VLOOKUP(A75, LMS_Loan_Tape!A74:Z1073,11,false)</f>
        <v>8</v>
      </c>
    </row>
    <row r="76">
      <c r="A76" s="5" t="str">
        <f>IFERROR(__xludf.DUMMYFUNCTION("""COMPUTED_VALUE"""),"LN-10258")</f>
        <v>LN-10258</v>
      </c>
      <c r="B76" s="6">
        <f>IFERROR(__xludf.DUMMYFUNCTION("""COMPUTED_VALUE"""),107565.0)</f>
        <v>107565</v>
      </c>
      <c r="C76" s="6">
        <f>IFERROR(__xludf.DUMMYFUNCTION("""COMPUTED_VALUE"""),64539.0)</f>
        <v>64539</v>
      </c>
      <c r="D76" s="6">
        <f>IFERROR(__xludf.DUMMYFUNCTION("""COMPUTED_VALUE"""),43026.0)</f>
        <v>43026</v>
      </c>
      <c r="E76" s="7">
        <f>IFERROR(__xludf.DUMMYFUNCTION("""COMPUTED_VALUE"""),0.4)</f>
        <v>0.4</v>
      </c>
      <c r="F76" s="6">
        <f>IFERROR(__xludf.DUMMYFUNCTION("""COMPUTED_VALUE"""),24527.0)</f>
        <v>24527</v>
      </c>
      <c r="G76" s="6">
        <f>IFERROR(__xludf.DUMMYFUNCTION("""COMPUTED_VALUE"""),24527.0)</f>
        <v>24527</v>
      </c>
      <c r="H76" s="6">
        <f>IFERROR(__xludf.DUMMYFUNCTION("""COMPUTED_VALUE"""),0.0)</f>
        <v>0</v>
      </c>
      <c r="I76" s="5" t="str">
        <f>IFERROR(__xludf.DUMMYFUNCTION("""COMPUTED_VALUE"""),"EXCEPTION")</f>
        <v>EXCEPTION</v>
      </c>
      <c r="J76" s="5" t="str">
        <f>IFERROR(__xludf.DUMMYFUNCTION("""COMPUTED_VALUE"""),"Partial Payment")</f>
        <v>Partial Payment</v>
      </c>
      <c r="K76" s="5" t="str">
        <f t="shared" si="1"/>
        <v>Contact customer for balance</v>
      </c>
      <c r="L76" s="5" t="str">
        <f>VLOOKUP(A76,LMS_Loan_Tape!A:Z,7,FALSE)</f>
        <v>DMI</v>
      </c>
      <c r="M76" s="6">
        <f t="shared" si="2"/>
        <v>43026</v>
      </c>
      <c r="N76" s="5" t="str">
        <f>VLOOKUP(A76,LMS_Loan_Tape!A:Z,6,FALSE)</f>
        <v>Personal Loan</v>
      </c>
      <c r="O76" s="5">
        <f>VLOOKUP(A76, LMS_Loan_Tape!A75:Z1074,11,false)</f>
        <v>11</v>
      </c>
    </row>
    <row r="77">
      <c r="A77" s="5" t="str">
        <f>IFERROR(__xludf.DUMMYFUNCTION("""COMPUTED_VALUE"""),"LN-10260")</f>
        <v>LN-10260</v>
      </c>
      <c r="B77" s="6">
        <f>IFERROR(__xludf.DUMMYFUNCTION("""COMPUTED_VALUE"""),277903.0)</f>
        <v>277903</v>
      </c>
      <c r="C77" s="6">
        <f>IFERROR(__xludf.DUMMYFUNCTION("""COMPUTED_VALUE"""),166741.0)</f>
        <v>166741</v>
      </c>
      <c r="D77" s="6">
        <f>IFERROR(__xludf.DUMMYFUNCTION("""COMPUTED_VALUE"""),111162.0)</f>
        <v>111162</v>
      </c>
      <c r="E77" s="7">
        <f>IFERROR(__xludf.DUMMYFUNCTION("""COMPUTED_VALUE"""),0.400002878702281)</f>
        <v>0.4000028787</v>
      </c>
      <c r="F77" s="6">
        <f>IFERROR(__xludf.DUMMYFUNCTION("""COMPUTED_VALUE"""),39573.0)</f>
        <v>39573</v>
      </c>
      <c r="G77" s="6">
        <f>IFERROR(__xludf.DUMMYFUNCTION("""COMPUTED_VALUE"""),39573.0)</f>
        <v>39573</v>
      </c>
      <c r="H77" s="6">
        <f>IFERROR(__xludf.DUMMYFUNCTION("""COMPUTED_VALUE"""),0.0)</f>
        <v>0</v>
      </c>
      <c r="I77" s="5" t="str">
        <f>IFERROR(__xludf.DUMMYFUNCTION("""COMPUTED_VALUE"""),"EXCEPTION")</f>
        <v>EXCEPTION</v>
      </c>
      <c r="J77" s="5" t="str">
        <f>IFERROR(__xludf.DUMMYFUNCTION("""COMPUTED_VALUE"""),"Partial Payment")</f>
        <v>Partial Payment</v>
      </c>
      <c r="K77" s="5" t="str">
        <f t="shared" si="1"/>
        <v>Contact customer for balance</v>
      </c>
      <c r="L77" s="5" t="str">
        <f>VLOOKUP(A77,LMS_Loan_Tape!A:Z,7,FALSE)</f>
        <v>Tata Capital</v>
      </c>
      <c r="M77" s="6">
        <f t="shared" si="2"/>
        <v>111162</v>
      </c>
      <c r="N77" s="5" t="str">
        <f>VLOOKUP(A77,LMS_Loan_Tape!A:Z,6,FALSE)</f>
        <v>Business Loan</v>
      </c>
      <c r="O77" s="5">
        <f>VLOOKUP(A77, LMS_Loan_Tape!A76:Z1075,11,false)</f>
        <v>1</v>
      </c>
    </row>
    <row r="78">
      <c r="A78" s="5" t="str">
        <f>IFERROR(__xludf.DUMMYFUNCTION("""COMPUTED_VALUE"""),"LN-10264")</f>
        <v>LN-10264</v>
      </c>
      <c r="B78" s="6">
        <f>IFERROR(__xludf.DUMMYFUNCTION("""COMPUTED_VALUE"""),59348.0)</f>
        <v>59348</v>
      </c>
      <c r="C78" s="6">
        <f>IFERROR(__xludf.DUMMYFUNCTION("""COMPUTED_VALUE"""),53413.0)</f>
        <v>53413</v>
      </c>
      <c r="D78" s="6">
        <f>IFERROR(__xludf.DUMMYFUNCTION("""COMPUTED_VALUE"""),5935.0)</f>
        <v>5935</v>
      </c>
      <c r="E78" s="7">
        <f>IFERROR(__xludf.DUMMYFUNCTION("""COMPUTED_VALUE"""),0.10000336995349464)</f>
        <v>0.10000337</v>
      </c>
      <c r="F78" s="6">
        <f>IFERROR(__xludf.DUMMYFUNCTION("""COMPUTED_VALUE"""),23143.0)</f>
        <v>23143</v>
      </c>
      <c r="G78" s="6">
        <f>IFERROR(__xludf.DUMMYFUNCTION("""COMPUTED_VALUE"""),11571.0)</f>
        <v>11571</v>
      </c>
      <c r="H78" s="6">
        <f>IFERROR(__xludf.DUMMYFUNCTION("""COMPUTED_VALUE"""),11572.0)</f>
        <v>11572</v>
      </c>
      <c r="I78" s="5" t="str">
        <f>IFERROR(__xludf.DUMMYFUNCTION("""COMPUTED_VALUE"""),"EXCEPTION")</f>
        <v>EXCEPTION</v>
      </c>
      <c r="J78" s="5" t="str">
        <f>IFERROR(__xludf.DUMMYFUNCTION("""COMPUTED_VALUE"""),"Waiver Applied")</f>
        <v>Waiver Applied</v>
      </c>
      <c r="K78" s="5" t="str">
        <f t="shared" si="1"/>
        <v>Verify approval, update ledger</v>
      </c>
      <c r="L78" s="5" t="str">
        <f>VLOOKUP(A78,LMS_Loan_Tape!A:Z,7,FALSE)</f>
        <v>Liquiloans</v>
      </c>
      <c r="M78" s="6">
        <f t="shared" si="2"/>
        <v>17507</v>
      </c>
      <c r="N78" s="5" t="str">
        <f>VLOOKUP(A78,LMS_Loan_Tape!A:Z,6,FALSE)</f>
        <v>Personal Loan</v>
      </c>
      <c r="O78" s="5">
        <f>VLOOKUP(A78, LMS_Loan_Tape!A77:Z1076,11,false)</f>
        <v>11</v>
      </c>
    </row>
    <row r="79">
      <c r="A79" s="5" t="str">
        <f>IFERROR(__xludf.DUMMYFUNCTION("""COMPUTED_VALUE"""),"LN-10265")</f>
        <v>LN-10265</v>
      </c>
      <c r="B79" s="6">
        <f>IFERROR(__xludf.DUMMYFUNCTION("""COMPUTED_VALUE"""),262408.0)</f>
        <v>262408</v>
      </c>
      <c r="C79" s="6">
        <f>IFERROR(__xludf.DUMMYFUNCTION("""COMPUTED_VALUE"""),257159.0)</f>
        <v>257159</v>
      </c>
      <c r="D79" s="6">
        <f>IFERROR(__xludf.DUMMYFUNCTION("""COMPUTED_VALUE"""),5249.0)</f>
        <v>5249</v>
      </c>
      <c r="E79" s="7">
        <f>IFERROR(__xludf.DUMMYFUNCTION("""COMPUTED_VALUE"""),0.020003201121917016)</f>
        <v>0.02000320112</v>
      </c>
      <c r="F79" s="6">
        <f>IFERROR(__xludf.DUMMYFUNCTION("""COMPUTED_VALUE"""),48464.0)</f>
        <v>48464</v>
      </c>
      <c r="G79" s="6">
        <f>IFERROR(__xludf.DUMMYFUNCTION("""COMPUTED_VALUE"""),48464.0)</f>
        <v>48464</v>
      </c>
      <c r="H79" s="6">
        <f>IFERROR(__xludf.DUMMYFUNCTION("""COMPUTED_VALUE"""),0.0)</f>
        <v>0</v>
      </c>
      <c r="I79" s="5" t="str">
        <f>IFERROR(__xludf.DUMMYFUNCTION("""COMPUTED_VALUE"""),"EXCEPTION")</f>
        <v>EXCEPTION</v>
      </c>
      <c r="J79" s="5"/>
      <c r="K79" s="5" t="str">
        <f t="shared" si="1"/>
        <v/>
      </c>
      <c r="L79" s="5" t="str">
        <f>VLOOKUP(A79,LMS_Loan_Tape!A:Z,7,FALSE)</f>
        <v>DMI</v>
      </c>
      <c r="M79" s="6">
        <f t="shared" si="2"/>
        <v>5249</v>
      </c>
      <c r="N79" s="5" t="str">
        <f>VLOOKUP(A79,LMS_Loan_Tape!A:Z,6,FALSE)</f>
        <v>Business Loan</v>
      </c>
      <c r="O79" s="5">
        <f>VLOOKUP(A79, LMS_Loan_Tape!A78:Z1077,11,false)</f>
        <v>9</v>
      </c>
    </row>
    <row r="80">
      <c r="A80" s="5" t="str">
        <f>IFERROR(__xludf.DUMMYFUNCTION("""COMPUTED_VALUE"""),"LN-10272")</f>
        <v>LN-10272</v>
      </c>
      <c r="B80" s="6">
        <f>IFERROR(__xludf.DUMMYFUNCTION("""COMPUTED_VALUE"""),149144.0)</f>
        <v>149144</v>
      </c>
      <c r="C80" s="6">
        <f>IFERROR(__xludf.DUMMYFUNCTION("""COMPUTED_VALUE"""),89486.0)</f>
        <v>89486</v>
      </c>
      <c r="D80" s="6">
        <f>IFERROR(__xludf.DUMMYFUNCTION("""COMPUTED_VALUE"""),59658.0)</f>
        <v>59658</v>
      </c>
      <c r="E80" s="7">
        <f>IFERROR(__xludf.DUMMYFUNCTION("""COMPUTED_VALUE"""),0.4000026819717857)</f>
        <v>0.400002682</v>
      </c>
      <c r="F80" s="6">
        <f>IFERROR(__xludf.DUMMYFUNCTION("""COMPUTED_VALUE"""),22740.0)</f>
        <v>22740</v>
      </c>
      <c r="G80" s="6">
        <f>IFERROR(__xludf.DUMMYFUNCTION("""COMPUTED_VALUE"""),22740.0)</f>
        <v>22740</v>
      </c>
      <c r="H80" s="6">
        <f>IFERROR(__xludf.DUMMYFUNCTION("""COMPUTED_VALUE"""),0.0)</f>
        <v>0</v>
      </c>
      <c r="I80" s="5" t="str">
        <f>IFERROR(__xludf.DUMMYFUNCTION("""COMPUTED_VALUE"""),"EXCEPTION")</f>
        <v>EXCEPTION</v>
      </c>
      <c r="J80" s="5" t="str">
        <f>IFERROR(__xludf.DUMMYFUNCTION("""COMPUTED_VALUE"""),"Partial Payment")</f>
        <v>Partial Payment</v>
      </c>
      <c r="K80" s="5" t="str">
        <f t="shared" si="1"/>
        <v>Contact customer for balance</v>
      </c>
      <c r="L80" s="5" t="str">
        <f>VLOOKUP(A80,LMS_Loan_Tape!A:Z,7,FALSE)</f>
        <v>Piramal</v>
      </c>
      <c r="M80" s="6">
        <f t="shared" si="2"/>
        <v>59658</v>
      </c>
      <c r="N80" s="5" t="str">
        <f>VLOOKUP(A80,LMS_Loan_Tape!A:Z,6,FALSE)</f>
        <v>Gold Loan</v>
      </c>
      <c r="O80" s="5">
        <f>VLOOKUP(A80, LMS_Loan_Tape!A79:Z1078,11,false)</f>
        <v>9</v>
      </c>
    </row>
    <row r="81">
      <c r="A81" s="5" t="str">
        <f>IFERROR(__xludf.DUMMYFUNCTION("""COMPUTED_VALUE"""),"LN-10274")</f>
        <v>LN-10274</v>
      </c>
      <c r="B81" s="6">
        <f>IFERROR(__xludf.DUMMYFUNCTION("""COMPUTED_VALUE"""),47347.0)</f>
        <v>47347</v>
      </c>
      <c r="C81" s="6">
        <f>IFERROR(__xludf.DUMMYFUNCTION("""COMPUTED_VALUE"""),42612.0)</f>
        <v>42612</v>
      </c>
      <c r="D81" s="6">
        <f>IFERROR(__xludf.DUMMYFUNCTION("""COMPUTED_VALUE"""),4735.0)</f>
        <v>4735</v>
      </c>
      <c r="E81" s="7">
        <f>IFERROR(__xludf.DUMMYFUNCTION("""COMPUTED_VALUE"""),0.1000063361987032)</f>
        <v>0.1000063362</v>
      </c>
      <c r="F81" s="6">
        <f>IFERROR(__xludf.DUMMYFUNCTION("""COMPUTED_VALUE"""),5946.0)</f>
        <v>5946</v>
      </c>
      <c r="G81" s="6">
        <f>IFERROR(__xludf.DUMMYFUNCTION("""COMPUTED_VALUE"""),2973.0)</f>
        <v>2973</v>
      </c>
      <c r="H81" s="6">
        <f>IFERROR(__xludf.DUMMYFUNCTION("""COMPUTED_VALUE"""),2973.0)</f>
        <v>2973</v>
      </c>
      <c r="I81" s="5" t="str">
        <f>IFERROR(__xludf.DUMMYFUNCTION("""COMPUTED_VALUE"""),"EXCEPTION")</f>
        <v>EXCEPTION</v>
      </c>
      <c r="J81" s="5" t="str">
        <f>IFERROR(__xludf.DUMMYFUNCTION("""COMPUTED_VALUE"""),"Waiver Applied")</f>
        <v>Waiver Applied</v>
      </c>
      <c r="K81" s="5" t="str">
        <f t="shared" si="1"/>
        <v>Verify approval, update ledger</v>
      </c>
      <c r="L81" s="5" t="str">
        <f>VLOOKUP(A81,LMS_Loan_Tape!A:Z,7,FALSE)</f>
        <v>DMI</v>
      </c>
      <c r="M81" s="6">
        <f t="shared" si="2"/>
        <v>7708</v>
      </c>
      <c r="N81" s="5" t="str">
        <f>VLOOKUP(A81,LMS_Loan_Tape!A:Z,6,FALSE)</f>
        <v>Home Loan</v>
      </c>
      <c r="O81" s="5">
        <f>VLOOKUP(A81, LMS_Loan_Tape!A80:Z1079,11,false)</f>
        <v>2</v>
      </c>
    </row>
    <row r="82">
      <c r="A82" s="5" t="str">
        <f>IFERROR(__xludf.DUMMYFUNCTION("""COMPUTED_VALUE"""),"LN-10281")</f>
        <v>LN-10281</v>
      </c>
      <c r="B82" s="6">
        <f>IFERROR(__xludf.DUMMYFUNCTION("""COMPUTED_VALUE"""),35631.0)</f>
        <v>35631</v>
      </c>
      <c r="C82" s="6">
        <f>IFERROR(__xludf.DUMMYFUNCTION("""COMPUTED_VALUE"""),35631.0)</f>
        <v>35631</v>
      </c>
      <c r="D82" s="6">
        <f>IFERROR(__xludf.DUMMYFUNCTION("""COMPUTED_VALUE"""),0.0)</f>
        <v>0</v>
      </c>
      <c r="E82" s="7">
        <f>IFERROR(__xludf.DUMMYFUNCTION("""COMPUTED_VALUE"""),0.0)</f>
        <v>0</v>
      </c>
      <c r="F82" s="6">
        <f>IFERROR(__xludf.DUMMYFUNCTION("""COMPUTED_VALUE"""),12070.0)</f>
        <v>12070</v>
      </c>
      <c r="G82" s="6">
        <f>IFERROR(__xludf.DUMMYFUNCTION("""COMPUTED_VALUE"""),11949.0)</f>
        <v>11949</v>
      </c>
      <c r="H82" s="6">
        <f>IFERROR(__xludf.DUMMYFUNCTION("""COMPUTED_VALUE"""),121.0)</f>
        <v>121</v>
      </c>
      <c r="I82" s="5" t="str">
        <f>IFERROR(__xludf.DUMMYFUNCTION("""COMPUTED_VALUE"""),"EXCEPTION")</f>
        <v>EXCEPTION</v>
      </c>
      <c r="J82" s="5"/>
      <c r="K82" s="5" t="str">
        <f t="shared" si="1"/>
        <v/>
      </c>
      <c r="L82" s="5" t="str">
        <f>VLOOKUP(A82,LMS_Loan_Tape!A:Z,7,FALSE)</f>
        <v>Northern Arc</v>
      </c>
      <c r="M82" s="6">
        <f t="shared" si="2"/>
        <v>121</v>
      </c>
      <c r="N82" s="5" t="str">
        <f>VLOOKUP(A82,LMS_Loan_Tape!A:Z,6,FALSE)</f>
        <v>Business Loan</v>
      </c>
      <c r="O82" s="5">
        <f>VLOOKUP(A82, LMS_Loan_Tape!A81:Z1080,11,false)</f>
        <v>10</v>
      </c>
    </row>
    <row r="83">
      <c r="A83" s="5" t="str">
        <f>IFERROR(__xludf.DUMMYFUNCTION("""COMPUTED_VALUE"""),"LN-10285")</f>
        <v>LN-10285</v>
      </c>
      <c r="B83" s="6">
        <f>IFERROR(__xludf.DUMMYFUNCTION("""COMPUTED_VALUE"""),95404.0)</f>
        <v>95404</v>
      </c>
      <c r="C83" s="6">
        <f>IFERROR(__xludf.DUMMYFUNCTION("""COMPUTED_VALUE"""),95404.0)</f>
        <v>95404</v>
      </c>
      <c r="D83" s="6">
        <f>IFERROR(__xludf.DUMMYFUNCTION("""COMPUTED_VALUE"""),0.0)</f>
        <v>0</v>
      </c>
      <c r="E83" s="7">
        <f>IFERROR(__xludf.DUMMYFUNCTION("""COMPUTED_VALUE"""),0.0)</f>
        <v>0</v>
      </c>
      <c r="F83" s="6">
        <f>IFERROR(__xludf.DUMMYFUNCTION("""COMPUTED_VALUE"""),27458.0)</f>
        <v>27458</v>
      </c>
      <c r="G83" s="6">
        <f>IFERROR(__xludf.DUMMYFUNCTION("""COMPUTED_VALUE"""),27183.0)</f>
        <v>27183</v>
      </c>
      <c r="H83" s="6">
        <f>IFERROR(__xludf.DUMMYFUNCTION("""COMPUTED_VALUE"""),275.0)</f>
        <v>275</v>
      </c>
      <c r="I83" s="5" t="str">
        <f>IFERROR(__xludf.DUMMYFUNCTION("""COMPUTED_VALUE"""),"EXCEPTION")</f>
        <v>EXCEPTION</v>
      </c>
      <c r="J83" s="5"/>
      <c r="K83" s="5" t="str">
        <f t="shared" si="1"/>
        <v/>
      </c>
      <c r="L83" s="5" t="str">
        <f>VLOOKUP(A83,LMS_Loan_Tape!A:Z,7,FALSE)</f>
        <v>Tata Capital</v>
      </c>
      <c r="M83" s="6">
        <f t="shared" si="2"/>
        <v>275</v>
      </c>
      <c r="N83" s="5" t="str">
        <f>VLOOKUP(A83,LMS_Loan_Tape!A:Z,6,FALSE)</f>
        <v>Gold Loan</v>
      </c>
      <c r="O83" s="5">
        <f>VLOOKUP(A83, LMS_Loan_Tape!A82:Z1081,11,false)</f>
        <v>11</v>
      </c>
    </row>
    <row r="84">
      <c r="A84" s="5" t="str">
        <f>IFERROR(__xludf.DUMMYFUNCTION("""COMPUTED_VALUE"""),"LN-10289")</f>
        <v>LN-10289</v>
      </c>
      <c r="B84" s="6">
        <f>IFERROR(__xludf.DUMMYFUNCTION("""COMPUTED_VALUE"""),223176.0)</f>
        <v>223176</v>
      </c>
      <c r="C84" s="6">
        <f>IFERROR(__xludf.DUMMYFUNCTION("""COMPUTED_VALUE"""),223176.0)</f>
        <v>223176</v>
      </c>
      <c r="D84" s="6">
        <f>IFERROR(__xludf.DUMMYFUNCTION("""COMPUTED_VALUE"""),0.0)</f>
        <v>0</v>
      </c>
      <c r="E84" s="7">
        <f>IFERROR(__xludf.DUMMYFUNCTION("""COMPUTED_VALUE"""),0.0)</f>
        <v>0</v>
      </c>
      <c r="F84" s="6">
        <f>IFERROR(__xludf.DUMMYFUNCTION("""COMPUTED_VALUE"""),39617.0)</f>
        <v>39617</v>
      </c>
      <c r="G84" s="6">
        <f>IFERROR(__xludf.DUMMYFUNCTION("""COMPUTED_VALUE"""),39220.0)</f>
        <v>39220</v>
      </c>
      <c r="H84" s="6">
        <f>IFERROR(__xludf.DUMMYFUNCTION("""COMPUTED_VALUE"""),397.0)</f>
        <v>397</v>
      </c>
      <c r="I84" s="5" t="str">
        <f>IFERROR(__xludf.DUMMYFUNCTION("""COMPUTED_VALUE"""),"EXCEPTION")</f>
        <v>EXCEPTION</v>
      </c>
      <c r="J84" s="5"/>
      <c r="K84" s="5" t="str">
        <f t="shared" si="1"/>
        <v/>
      </c>
      <c r="L84" s="5" t="str">
        <f>VLOOKUP(A84,LMS_Loan_Tape!A:Z,7,FALSE)</f>
        <v>Liquiloans</v>
      </c>
      <c r="M84" s="6">
        <f t="shared" si="2"/>
        <v>397</v>
      </c>
      <c r="N84" s="5" t="str">
        <f>VLOOKUP(A84,LMS_Loan_Tape!A:Z,6,FALSE)</f>
        <v>Home Loan</v>
      </c>
      <c r="O84" s="5">
        <f>VLOOKUP(A84, LMS_Loan_Tape!A83:Z1082,11,false)</f>
        <v>8</v>
      </c>
    </row>
    <row r="85">
      <c r="A85" s="5" t="str">
        <f>IFERROR(__xludf.DUMMYFUNCTION("""COMPUTED_VALUE"""),"LN-10291")</f>
        <v>LN-10291</v>
      </c>
      <c r="B85" s="6">
        <f>IFERROR(__xludf.DUMMYFUNCTION("""COMPUTED_VALUE"""),141525.0)</f>
        <v>141525</v>
      </c>
      <c r="C85" s="6">
        <f>IFERROR(__xludf.DUMMYFUNCTION("""COMPUTED_VALUE"""),148601.0)</f>
        <v>148601</v>
      </c>
      <c r="D85" s="6">
        <f>IFERROR(__xludf.DUMMYFUNCTION("""COMPUTED_VALUE"""),-7076.0)</f>
        <v>-7076</v>
      </c>
      <c r="E85" s="7">
        <f>IFERROR(__xludf.DUMMYFUNCTION("""COMPUTED_VALUE"""),-0.04999823352764529)</f>
        <v>-0.04999823353</v>
      </c>
      <c r="F85" s="6">
        <f>IFERROR(__xludf.DUMMYFUNCTION("""COMPUTED_VALUE"""),12129.0)</f>
        <v>12129</v>
      </c>
      <c r="G85" s="6">
        <f>IFERROR(__xludf.DUMMYFUNCTION("""COMPUTED_VALUE"""),12129.0)</f>
        <v>12129</v>
      </c>
      <c r="H85" s="6">
        <f>IFERROR(__xludf.DUMMYFUNCTION("""COMPUTED_VALUE"""),0.0)</f>
        <v>0</v>
      </c>
      <c r="I85" s="5" t="str">
        <f>IFERROR(__xludf.DUMMYFUNCTION("""COMPUTED_VALUE"""),"EXCEPTION")</f>
        <v>EXCEPTION</v>
      </c>
      <c r="J85" s="5" t="str">
        <f>IFERROR(__xludf.DUMMYFUNCTION("""COMPUTED_VALUE"""),"Rate Change")</f>
        <v>Rate Change</v>
      </c>
      <c r="K85" s="5" t="str">
        <f t="shared" si="1"/>
        <v>Update loan agreement</v>
      </c>
      <c r="L85" s="5" t="str">
        <f>VLOOKUP(A85,LMS_Loan_Tape!A:Z,7,FALSE)</f>
        <v>Liquiloans</v>
      </c>
      <c r="M85" s="6">
        <f t="shared" si="2"/>
        <v>-7076</v>
      </c>
      <c r="N85" s="5" t="str">
        <f>VLOOKUP(A85,LMS_Loan_Tape!A:Z,6,FALSE)</f>
        <v>Gold Loan</v>
      </c>
      <c r="O85" s="5">
        <f>VLOOKUP(A85, LMS_Loan_Tape!A84:Z1083,11,false)</f>
        <v>7</v>
      </c>
    </row>
    <row r="86">
      <c r="A86" s="5" t="str">
        <f>IFERROR(__xludf.DUMMYFUNCTION("""COMPUTED_VALUE"""),"LN-10293")</f>
        <v>LN-10293</v>
      </c>
      <c r="B86" s="6">
        <f>IFERROR(__xludf.DUMMYFUNCTION("""COMPUTED_VALUE"""),73572.0)</f>
        <v>73572</v>
      </c>
      <c r="C86" s="6">
        <f>IFERROR(__xludf.DUMMYFUNCTION("""COMPUTED_VALUE"""),66214.0)</f>
        <v>66214</v>
      </c>
      <c r="D86" s="6">
        <f>IFERROR(__xludf.DUMMYFUNCTION("""COMPUTED_VALUE"""),7358.0)</f>
        <v>7358</v>
      </c>
      <c r="E86" s="7">
        <f>IFERROR(__xludf.DUMMYFUNCTION("""COMPUTED_VALUE"""),0.10001087370195183)</f>
        <v>0.1000108737</v>
      </c>
      <c r="F86" s="6">
        <f>IFERROR(__xludf.DUMMYFUNCTION("""COMPUTED_VALUE"""),10115.0)</f>
        <v>10115</v>
      </c>
      <c r="G86" s="6">
        <f>IFERROR(__xludf.DUMMYFUNCTION("""COMPUTED_VALUE"""),5057.0)</f>
        <v>5057</v>
      </c>
      <c r="H86" s="6">
        <f>IFERROR(__xludf.DUMMYFUNCTION("""COMPUTED_VALUE"""),5058.0)</f>
        <v>5058</v>
      </c>
      <c r="I86" s="5" t="str">
        <f>IFERROR(__xludf.DUMMYFUNCTION("""COMPUTED_VALUE"""),"EXCEPTION")</f>
        <v>EXCEPTION</v>
      </c>
      <c r="J86" s="5" t="str">
        <f>IFERROR(__xludf.DUMMYFUNCTION("""COMPUTED_VALUE"""),"Waiver Applied")</f>
        <v>Waiver Applied</v>
      </c>
      <c r="K86" s="5" t="str">
        <f t="shared" si="1"/>
        <v>Verify approval, update ledger</v>
      </c>
      <c r="L86" s="5" t="str">
        <f>VLOOKUP(A86,LMS_Loan_Tape!A:Z,7,FALSE)</f>
        <v>Northern Arc</v>
      </c>
      <c r="M86" s="6">
        <f t="shared" si="2"/>
        <v>12416</v>
      </c>
      <c r="N86" s="5" t="str">
        <f>VLOOKUP(A86,LMS_Loan_Tape!A:Z,6,FALSE)</f>
        <v>Personal Loan</v>
      </c>
      <c r="O86" s="5">
        <f>VLOOKUP(A86, LMS_Loan_Tape!A85:Z1084,11,false)</f>
        <v>11</v>
      </c>
    </row>
    <row r="87">
      <c r="A87" s="5" t="str">
        <f>IFERROR(__xludf.DUMMYFUNCTION("""COMPUTED_VALUE"""),"LN-10294")</f>
        <v>LN-10294</v>
      </c>
      <c r="B87" s="6">
        <f>IFERROR(__xludf.DUMMYFUNCTION("""COMPUTED_VALUE"""),81747.0)</f>
        <v>81747</v>
      </c>
      <c r="C87" s="6">
        <f>IFERROR(__xludf.DUMMYFUNCTION("""COMPUTED_VALUE"""),80112.0)</f>
        <v>80112</v>
      </c>
      <c r="D87" s="6">
        <f>IFERROR(__xludf.DUMMYFUNCTION("""COMPUTED_VALUE"""),1635.0)</f>
        <v>1635</v>
      </c>
      <c r="E87" s="7">
        <f>IFERROR(__xludf.DUMMYFUNCTION("""COMPUTED_VALUE"""),0.020000733971888878)</f>
        <v>0.02000073397</v>
      </c>
      <c r="F87" s="6">
        <f>IFERROR(__xludf.DUMMYFUNCTION("""COMPUTED_VALUE"""),6922.0)</f>
        <v>6922</v>
      </c>
      <c r="G87" s="6">
        <f>IFERROR(__xludf.DUMMYFUNCTION("""COMPUTED_VALUE"""),6922.0)</f>
        <v>6922</v>
      </c>
      <c r="H87" s="6">
        <f>IFERROR(__xludf.DUMMYFUNCTION("""COMPUTED_VALUE"""),0.0)</f>
        <v>0</v>
      </c>
      <c r="I87" s="5" t="str">
        <f>IFERROR(__xludf.DUMMYFUNCTION("""COMPUTED_VALUE"""),"EXCEPTION")</f>
        <v>EXCEPTION</v>
      </c>
      <c r="J87" s="5"/>
      <c r="K87" s="5" t="str">
        <f t="shared" si="1"/>
        <v/>
      </c>
      <c r="L87" s="5" t="str">
        <f>VLOOKUP(A87,LMS_Loan_Tape!A:Z,7,FALSE)</f>
        <v>Tata Capital</v>
      </c>
      <c r="M87" s="6">
        <f t="shared" si="2"/>
        <v>1635</v>
      </c>
      <c r="N87" s="5" t="str">
        <f>VLOOKUP(A87,LMS_Loan_Tape!A:Z,6,FALSE)</f>
        <v>Home Loan</v>
      </c>
      <c r="O87" s="5">
        <f>VLOOKUP(A87, LMS_Loan_Tape!A86:Z1085,11,false)</f>
        <v>4</v>
      </c>
    </row>
  </sheetData>
  <conditionalFormatting sqref="A1 B1:E1 F1:J1">
    <cfRule type="cellIs" dxfId="0" priority="1" operator="equal">
      <formula>"MATCHED"</formula>
    </cfRule>
  </conditionalFormatting>
  <conditionalFormatting sqref="A1 B1:E1 F1:J1">
    <cfRule type="cellIs" dxfId="1" priority="2" operator="equal">
      <formula>"EXCEPTION"</formula>
    </cfRule>
  </conditionalFormatting>
  <conditionalFormatting sqref="A1 B1:E1 F1:J1">
    <cfRule type="cellIs" dxfId="2" priority="3" operator="between">
      <formula>0.05</formula>
      <formula>0.15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12">
      <c r="A12" s="5" t="s">
        <v>5</v>
      </c>
      <c r="B12" s="5" t="s">
        <v>357</v>
      </c>
      <c r="C12" s="5" t="s">
        <v>358</v>
      </c>
    </row>
    <row r="13">
      <c r="A13" s="5"/>
      <c r="B13" s="5">
        <v>0.0</v>
      </c>
      <c r="C13" s="5">
        <v>0.0</v>
      </c>
    </row>
    <row r="14">
      <c r="A14" s="5" t="s">
        <v>16</v>
      </c>
      <c r="B14" s="5">
        <v>20.0</v>
      </c>
      <c r="C14" s="6">
        <v>288475.0</v>
      </c>
    </row>
    <row r="15">
      <c r="A15" s="5" t="s">
        <v>27</v>
      </c>
      <c r="B15" s="5">
        <v>16.0</v>
      </c>
      <c r="C15" s="6">
        <v>163941.0</v>
      </c>
    </row>
    <row r="16">
      <c r="A16" s="5" t="s">
        <v>19</v>
      </c>
      <c r="B16" s="5">
        <v>32.0</v>
      </c>
      <c r="C16" s="6">
        <v>434092.0</v>
      </c>
    </row>
    <row r="17">
      <c r="A17" s="5" t="s">
        <v>12</v>
      </c>
      <c r="B17" s="5">
        <v>18.0</v>
      </c>
      <c r="C17" s="6">
        <v>168908.0</v>
      </c>
    </row>
    <row r="18">
      <c r="A18" s="5" t="s">
        <v>359</v>
      </c>
      <c r="B18" s="5">
        <v>86.0</v>
      </c>
      <c r="C18" s="6">
        <v>1055416.0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</sheetData>
  <drawing r:id="rId3"/>
</worksheet>
</file>